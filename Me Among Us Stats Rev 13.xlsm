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ckt\OneDrive\Documents\Fun Projects\Among Us\"/>
    </mc:Choice>
  </mc:AlternateContent>
  <xr:revisionPtr revIDLastSave="0" documentId="13_ncr:1_{821351B6-2D3E-4B82-8EA3-B1A4D1591656}" xr6:coauthVersionLast="47" xr6:coauthVersionMax="47" xr10:uidLastSave="{00000000-0000-0000-0000-000000000000}"/>
  <bookViews>
    <workbookView xWindow="-120" yWindow="-120" windowWidth="29040" windowHeight="15840" tabRatio="860" activeTab="5" xr2:uid="{2E652E67-2C17-44CF-A62C-155D4BCCE3FC}"/>
  </bookViews>
  <sheets>
    <sheet name="Games" sheetId="1" r:id="rId1"/>
    <sheet name="Lobby Stats" sheetId="3" r:id="rId2"/>
    <sheet name="Imposter Pairs" sheetId="4" r:id="rId3"/>
    <sheet name="Imposter Games Chart" sheetId="7" r:id="rId4"/>
    <sheet name="Imposter %W Chart" sheetId="5" r:id="rId5"/>
    <sheet name="Advanced Lobby Stats" sheetId="6" r:id="rId6"/>
    <sheet name="Stats" sheetId="2" r:id="rId7"/>
  </sheets>
  <definedNames>
    <definedName name="_xlnm._FilterDatabase" localSheetId="5" hidden="1">'Advanced Lobby Stats'!$A$2:$AS$2</definedName>
    <definedName name="_xlnm._FilterDatabase" localSheetId="0" hidden="1">Games!$A$1:$T$1</definedName>
    <definedName name="_xlnm._FilterDatabase" localSheetId="2" hidden="1">'Imposter Pairs'!$A$2:$N$33</definedName>
    <definedName name="_xlnm._FilterDatabase" localSheetId="1" hidden="1">'Lobby Stats'!$A$2:$AS$2</definedName>
    <definedName name="PlayersList">'Lobby Stats'!$A$3:$A$21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6" i="2" l="1"/>
  <c r="X12" i="2"/>
  <c r="Y6" i="2"/>
  <c r="C71" i="4"/>
  <c r="D71" i="4"/>
  <c r="H71" i="4"/>
  <c r="K71" i="4"/>
  <c r="N71" i="4"/>
  <c r="C72" i="4"/>
  <c r="D72" i="4"/>
  <c r="H72" i="4"/>
  <c r="K72" i="4"/>
  <c r="N72" i="4"/>
  <c r="C73" i="4"/>
  <c r="D73" i="4"/>
  <c r="H73" i="4"/>
  <c r="K73" i="4"/>
  <c r="N73" i="4"/>
  <c r="C74" i="4"/>
  <c r="D74" i="4"/>
  <c r="H74" i="4"/>
  <c r="K74" i="4"/>
  <c r="N74" i="4"/>
  <c r="C75" i="4"/>
  <c r="D75" i="4"/>
  <c r="H75" i="4"/>
  <c r="K75" i="4"/>
  <c r="N75" i="4"/>
  <c r="E21" i="3"/>
  <c r="G21" i="3"/>
  <c r="I21" i="3"/>
  <c r="K21" i="3"/>
  <c r="M21" i="3"/>
  <c r="Q21" i="3" s="1"/>
  <c r="S21" i="3"/>
  <c r="W21" i="3"/>
  <c r="X21" i="3"/>
  <c r="AB21" i="3" s="1"/>
  <c r="AD21" i="3"/>
  <c r="AH21" i="3"/>
  <c r="AI21" i="3"/>
  <c r="AQ21" i="3" s="1"/>
  <c r="AO21" i="3"/>
  <c r="AS21" i="3"/>
  <c r="C70" i="4"/>
  <c r="D70" i="4"/>
  <c r="H70" i="4"/>
  <c r="K70" i="4"/>
  <c r="N70" i="4"/>
  <c r="C63" i="4"/>
  <c r="D63" i="4"/>
  <c r="H63" i="4"/>
  <c r="K63" i="4"/>
  <c r="N63" i="4"/>
  <c r="C64" i="4"/>
  <c r="D64" i="4"/>
  <c r="H64" i="4"/>
  <c r="K64" i="4"/>
  <c r="N64" i="4"/>
  <c r="C65" i="4"/>
  <c r="D65" i="4"/>
  <c r="H65" i="4"/>
  <c r="K65" i="4"/>
  <c r="N65" i="4"/>
  <c r="C66" i="4"/>
  <c r="D66" i="4"/>
  <c r="H66" i="4"/>
  <c r="K66" i="4"/>
  <c r="N66" i="4"/>
  <c r="C67" i="4"/>
  <c r="D67" i="4"/>
  <c r="H67" i="4"/>
  <c r="K67" i="4"/>
  <c r="N67" i="4"/>
  <c r="C68" i="4"/>
  <c r="D68" i="4"/>
  <c r="H68" i="4"/>
  <c r="K68" i="4"/>
  <c r="N68" i="4"/>
  <c r="C69" i="4"/>
  <c r="D69" i="4"/>
  <c r="H69" i="4"/>
  <c r="K69" i="4"/>
  <c r="N69" i="4"/>
  <c r="C60" i="4"/>
  <c r="D60" i="4"/>
  <c r="H60" i="4"/>
  <c r="K60" i="4"/>
  <c r="N60" i="4"/>
  <c r="C61" i="4"/>
  <c r="D61" i="4"/>
  <c r="H61" i="4"/>
  <c r="K61" i="4"/>
  <c r="N61" i="4"/>
  <c r="C62" i="4"/>
  <c r="D62" i="4"/>
  <c r="H62" i="4"/>
  <c r="K62" i="4"/>
  <c r="N62" i="4"/>
  <c r="Q53" i="2"/>
  <c r="P53" i="2"/>
  <c r="O53" i="2"/>
  <c r="K53" i="2"/>
  <c r="J53" i="2"/>
  <c r="I53" i="2"/>
  <c r="N52" i="2"/>
  <c r="H52" i="2"/>
  <c r="E52" i="2"/>
  <c r="D52" i="2"/>
  <c r="C52" i="2"/>
  <c r="Q51" i="2"/>
  <c r="P51" i="2"/>
  <c r="O51" i="2"/>
  <c r="K51" i="2"/>
  <c r="J51" i="2"/>
  <c r="I51" i="2"/>
  <c r="Q50" i="2"/>
  <c r="P50" i="2"/>
  <c r="O50" i="2"/>
  <c r="K50" i="2"/>
  <c r="J50" i="2"/>
  <c r="I50" i="2"/>
  <c r="Q48" i="2"/>
  <c r="P48" i="2"/>
  <c r="O48" i="2"/>
  <c r="K48" i="2"/>
  <c r="J48" i="2"/>
  <c r="I48" i="2"/>
  <c r="Q46" i="2"/>
  <c r="P46" i="2"/>
  <c r="O46" i="2"/>
  <c r="K46" i="2"/>
  <c r="J46" i="2"/>
  <c r="I46" i="2"/>
  <c r="N44" i="2"/>
  <c r="H44" i="2"/>
  <c r="E44" i="2"/>
  <c r="D44" i="2"/>
  <c r="C44" i="2"/>
  <c r="N43" i="2"/>
  <c r="H43" i="2"/>
  <c r="E43" i="2"/>
  <c r="D43" i="2"/>
  <c r="C43" i="2"/>
  <c r="N41" i="2"/>
  <c r="H41" i="2"/>
  <c r="E41" i="2"/>
  <c r="D41" i="2"/>
  <c r="C41" i="2"/>
  <c r="N39" i="2"/>
  <c r="H39" i="2"/>
  <c r="E39" i="2"/>
  <c r="D39" i="2"/>
  <c r="C39" i="2"/>
  <c r="N38" i="2"/>
  <c r="H38" i="2"/>
  <c r="E38" i="2"/>
  <c r="D38" i="2"/>
  <c r="C38" i="2"/>
  <c r="Q32" i="2"/>
  <c r="P32" i="2"/>
  <c r="O32" i="2"/>
  <c r="K32" i="2"/>
  <c r="J32" i="2"/>
  <c r="I32" i="2"/>
  <c r="N31" i="2"/>
  <c r="H31" i="2"/>
  <c r="E31" i="2"/>
  <c r="D31" i="2"/>
  <c r="C31" i="2"/>
  <c r="Q30" i="2"/>
  <c r="P30" i="2"/>
  <c r="O30" i="2"/>
  <c r="K30" i="2"/>
  <c r="J30" i="2"/>
  <c r="I30" i="2"/>
  <c r="Q29" i="2"/>
  <c r="P29" i="2"/>
  <c r="O29" i="2"/>
  <c r="K29" i="2"/>
  <c r="J29" i="2"/>
  <c r="I29" i="2"/>
  <c r="Q28" i="2"/>
  <c r="P28" i="2"/>
  <c r="O28" i="2"/>
  <c r="K28" i="2"/>
  <c r="J28" i="2"/>
  <c r="I28" i="2"/>
  <c r="Q26" i="2"/>
  <c r="P26" i="2"/>
  <c r="O26" i="2"/>
  <c r="K26" i="2"/>
  <c r="J26" i="2"/>
  <c r="I26" i="2"/>
  <c r="N24" i="2"/>
  <c r="H24" i="2"/>
  <c r="E24" i="2"/>
  <c r="D24" i="2"/>
  <c r="C24" i="2"/>
  <c r="N23" i="2"/>
  <c r="H23" i="2"/>
  <c r="E23" i="2"/>
  <c r="D23" i="2"/>
  <c r="C23" i="2"/>
  <c r="N22" i="2"/>
  <c r="H22" i="2"/>
  <c r="E22" i="2"/>
  <c r="D22" i="2"/>
  <c r="C22" i="2"/>
  <c r="N20" i="2"/>
  <c r="H20" i="2"/>
  <c r="E20" i="2"/>
  <c r="D20" i="2"/>
  <c r="C20" i="2"/>
  <c r="N19" i="2"/>
  <c r="H19" i="2"/>
  <c r="E19" i="2"/>
  <c r="D19" i="2"/>
  <c r="C19" i="2"/>
  <c r="AF12" i="2"/>
  <c r="AE12" i="2"/>
  <c r="AD12" i="2"/>
  <c r="AC12" i="2"/>
  <c r="AB12" i="2"/>
  <c r="AA12" i="2"/>
  <c r="Z12" i="2"/>
  <c r="Y12" i="2"/>
  <c r="Q12" i="2"/>
  <c r="P12" i="2"/>
  <c r="O12" i="2"/>
  <c r="K12" i="2"/>
  <c r="J12" i="2"/>
  <c r="I12" i="2"/>
  <c r="AE6" i="2"/>
  <c r="AD6" i="2"/>
  <c r="AC6" i="2"/>
  <c r="AB6" i="2"/>
  <c r="AA6" i="2"/>
  <c r="Z6" i="2"/>
  <c r="Q5" i="2"/>
  <c r="P5" i="2"/>
  <c r="O5" i="2"/>
  <c r="K5" i="2"/>
  <c r="J5" i="2"/>
  <c r="I5" i="2"/>
  <c r="Q4" i="2"/>
  <c r="Q36" i="2" s="1"/>
  <c r="P4" i="2"/>
  <c r="P36" i="2" s="1"/>
  <c r="O4" i="2"/>
  <c r="O17" i="2" s="1"/>
  <c r="K4" i="2"/>
  <c r="K10" i="2" s="1"/>
  <c r="J4" i="2"/>
  <c r="J17" i="2" s="1"/>
  <c r="I4" i="2"/>
  <c r="I10" i="2" s="1"/>
  <c r="AK13" i="6"/>
  <c r="AJ13" i="6"/>
  <c r="AI13" i="6"/>
  <c r="L13" i="6"/>
  <c r="K13" i="6"/>
  <c r="AV20" i="6"/>
  <c r="AK10" i="6"/>
  <c r="AJ10" i="6"/>
  <c r="AI10" i="6"/>
  <c r="Z10" i="6"/>
  <c r="Y10" i="6"/>
  <c r="X10" i="6" s="1"/>
  <c r="L10" i="6"/>
  <c r="K10" i="6"/>
  <c r="AV19" i="6"/>
  <c r="AK3" i="6"/>
  <c r="AJ3" i="6"/>
  <c r="AI3" i="6"/>
  <c r="L3" i="6"/>
  <c r="K3" i="6"/>
  <c r="AK7" i="6"/>
  <c r="AJ7" i="6"/>
  <c r="AI7" i="6"/>
  <c r="Z7" i="6"/>
  <c r="Y7" i="6"/>
  <c r="L7" i="6"/>
  <c r="K7" i="6"/>
  <c r="AK11" i="6"/>
  <c r="AJ11" i="6"/>
  <c r="AI11" i="6"/>
  <c r="L11" i="6"/>
  <c r="K11" i="6"/>
  <c r="AK4" i="6"/>
  <c r="AJ4" i="6"/>
  <c r="AI4" i="6"/>
  <c r="Z4" i="6"/>
  <c r="Y4" i="6"/>
  <c r="X4" i="6" s="1"/>
  <c r="L4" i="6"/>
  <c r="K4" i="6"/>
  <c r="AV15" i="6"/>
  <c r="Z20" i="6" s="1"/>
  <c r="AK18" i="6"/>
  <c r="AJ18" i="6"/>
  <c r="AI18" i="6"/>
  <c r="Z18" i="6"/>
  <c r="Y18" i="6"/>
  <c r="X18" i="6"/>
  <c r="L18" i="6"/>
  <c r="K18" i="6"/>
  <c r="AV14" i="6"/>
  <c r="Y17" i="6" s="1"/>
  <c r="AK16" i="6"/>
  <c r="AJ16" i="6"/>
  <c r="AI16" i="6"/>
  <c r="Z16" i="6"/>
  <c r="Y16" i="6"/>
  <c r="X16" i="6"/>
  <c r="L16" i="6"/>
  <c r="K16" i="6"/>
  <c r="AK17" i="6"/>
  <c r="AJ17" i="6"/>
  <c r="AI17" i="6"/>
  <c r="L17" i="6"/>
  <c r="K17" i="6"/>
  <c r="AK20" i="6"/>
  <c r="AJ20" i="6"/>
  <c r="AI20" i="6"/>
  <c r="L20" i="6"/>
  <c r="K20" i="6"/>
  <c r="AK5" i="6"/>
  <c r="AJ5" i="6"/>
  <c r="AI5" i="6"/>
  <c r="L5" i="6"/>
  <c r="K5" i="6"/>
  <c r="AV10" i="6"/>
  <c r="O16" i="6" s="1"/>
  <c r="AK14" i="6"/>
  <c r="AJ14" i="6"/>
  <c r="AI14" i="6"/>
  <c r="L14" i="6"/>
  <c r="K14" i="6"/>
  <c r="AV9" i="6"/>
  <c r="N14" i="6" s="1"/>
  <c r="AK9" i="6"/>
  <c r="AJ9" i="6"/>
  <c r="AI9" i="6"/>
  <c r="L9" i="6"/>
  <c r="K9" i="6"/>
  <c r="AK6" i="6"/>
  <c r="AJ6" i="6"/>
  <c r="AI6" i="6"/>
  <c r="L6" i="6"/>
  <c r="K6" i="6"/>
  <c r="AK15" i="6"/>
  <c r="AJ15" i="6"/>
  <c r="AI15" i="6"/>
  <c r="L15" i="6"/>
  <c r="K15" i="6"/>
  <c r="AK19" i="6"/>
  <c r="AJ19" i="6"/>
  <c r="AI19" i="6"/>
  <c r="L19" i="6"/>
  <c r="K19" i="6"/>
  <c r="AK21" i="6"/>
  <c r="AJ21" i="6"/>
  <c r="AI21" i="6"/>
  <c r="L21" i="6"/>
  <c r="K21" i="6"/>
  <c r="AK12" i="6"/>
  <c r="AJ12" i="6"/>
  <c r="AI12" i="6"/>
  <c r="L12" i="6"/>
  <c r="K12" i="6"/>
  <c r="AK8" i="6"/>
  <c r="AJ8" i="6"/>
  <c r="AI8" i="6"/>
  <c r="L8" i="6"/>
  <c r="K8" i="6"/>
  <c r="N59" i="4"/>
  <c r="K59" i="4"/>
  <c r="H59" i="4"/>
  <c r="D59" i="4"/>
  <c r="C59" i="4"/>
  <c r="N58" i="4"/>
  <c r="K58" i="4"/>
  <c r="H58" i="4"/>
  <c r="D58" i="4"/>
  <c r="C58" i="4"/>
  <c r="N57" i="4"/>
  <c r="K57" i="4"/>
  <c r="H57" i="4"/>
  <c r="D57" i="4"/>
  <c r="C57" i="4"/>
  <c r="N56" i="4"/>
  <c r="K56" i="4"/>
  <c r="H56" i="4"/>
  <c r="D56" i="4"/>
  <c r="C56" i="4"/>
  <c r="N55" i="4"/>
  <c r="K55" i="4"/>
  <c r="H55" i="4"/>
  <c r="D55" i="4"/>
  <c r="C55" i="4"/>
  <c r="N54" i="4"/>
  <c r="K54" i="4"/>
  <c r="H54" i="4"/>
  <c r="D54" i="4"/>
  <c r="C54" i="4"/>
  <c r="N53" i="4"/>
  <c r="K53" i="4"/>
  <c r="H53" i="4"/>
  <c r="D53" i="4"/>
  <c r="C53" i="4"/>
  <c r="N52" i="4"/>
  <c r="K52" i="4"/>
  <c r="H52" i="4"/>
  <c r="D52" i="4"/>
  <c r="C52" i="4"/>
  <c r="N51" i="4"/>
  <c r="K51" i="4"/>
  <c r="H51" i="4"/>
  <c r="D51" i="4"/>
  <c r="C51" i="4"/>
  <c r="N50" i="4"/>
  <c r="K50" i="4"/>
  <c r="H50" i="4"/>
  <c r="D50" i="4"/>
  <c r="C50" i="4"/>
  <c r="N49" i="4"/>
  <c r="K49" i="4"/>
  <c r="H49" i="4"/>
  <c r="D49" i="4"/>
  <c r="C49" i="4"/>
  <c r="N24" i="4"/>
  <c r="K24" i="4"/>
  <c r="H24" i="4"/>
  <c r="D24" i="4"/>
  <c r="C24" i="4"/>
  <c r="N47" i="4"/>
  <c r="K47" i="4"/>
  <c r="H47" i="4"/>
  <c r="D47" i="4"/>
  <c r="C47" i="4"/>
  <c r="N48" i="4"/>
  <c r="K48" i="4"/>
  <c r="H48" i="4"/>
  <c r="D48" i="4"/>
  <c r="C48" i="4"/>
  <c r="N45" i="4"/>
  <c r="K45" i="4"/>
  <c r="H45" i="4"/>
  <c r="D45" i="4"/>
  <c r="C45" i="4"/>
  <c r="N44" i="4"/>
  <c r="K44" i="4"/>
  <c r="H44" i="4"/>
  <c r="D44" i="4"/>
  <c r="C44" i="4"/>
  <c r="N43" i="4"/>
  <c r="K43" i="4"/>
  <c r="H43" i="4"/>
  <c r="D43" i="4"/>
  <c r="C43" i="4"/>
  <c r="N46" i="4"/>
  <c r="K46" i="4"/>
  <c r="H46" i="4"/>
  <c r="D46" i="4"/>
  <c r="C46" i="4"/>
  <c r="N41" i="4"/>
  <c r="K41" i="4"/>
  <c r="H41" i="4"/>
  <c r="D41" i="4"/>
  <c r="C41" i="4"/>
  <c r="N40" i="4"/>
  <c r="K40" i="4"/>
  <c r="H40" i="4"/>
  <c r="D40" i="4"/>
  <c r="C40" i="4"/>
  <c r="N39" i="4"/>
  <c r="K39" i="4"/>
  <c r="H39" i="4"/>
  <c r="D39" i="4"/>
  <c r="C39" i="4"/>
  <c r="N38" i="4"/>
  <c r="K38" i="4"/>
  <c r="H38" i="4"/>
  <c r="D38" i="4"/>
  <c r="C38" i="4"/>
  <c r="N37" i="4"/>
  <c r="K37" i="4"/>
  <c r="H37" i="4"/>
  <c r="D37" i="4"/>
  <c r="C37" i="4"/>
  <c r="N36" i="4"/>
  <c r="K36" i="4"/>
  <c r="H36" i="4"/>
  <c r="D36" i="4"/>
  <c r="C36" i="4"/>
  <c r="N42" i="4"/>
  <c r="K42" i="4"/>
  <c r="H42" i="4"/>
  <c r="D42" i="4"/>
  <c r="C42" i="4"/>
  <c r="N34" i="4"/>
  <c r="K34" i="4"/>
  <c r="H34" i="4"/>
  <c r="D34" i="4"/>
  <c r="C34" i="4"/>
  <c r="N33" i="4"/>
  <c r="K33" i="4"/>
  <c r="H33" i="4"/>
  <c r="D33" i="4"/>
  <c r="C33" i="4"/>
  <c r="N32" i="4"/>
  <c r="K32" i="4"/>
  <c r="H32" i="4"/>
  <c r="D32" i="4"/>
  <c r="C32" i="4"/>
  <c r="N31" i="4"/>
  <c r="K31" i="4"/>
  <c r="H31" i="4"/>
  <c r="D31" i="4"/>
  <c r="C31" i="4"/>
  <c r="N30" i="4"/>
  <c r="K30" i="4"/>
  <c r="H30" i="4"/>
  <c r="D30" i="4"/>
  <c r="C30" i="4"/>
  <c r="N35" i="4"/>
  <c r="K35" i="4"/>
  <c r="H35" i="4"/>
  <c r="D35" i="4"/>
  <c r="C35" i="4"/>
  <c r="N28" i="4"/>
  <c r="K28" i="4"/>
  <c r="H28" i="4"/>
  <c r="D28" i="4"/>
  <c r="C28" i="4"/>
  <c r="N27" i="4"/>
  <c r="K27" i="4"/>
  <c r="H27" i="4"/>
  <c r="D27" i="4"/>
  <c r="C27" i="4"/>
  <c r="N26" i="4"/>
  <c r="K26" i="4"/>
  <c r="H26" i="4"/>
  <c r="D26" i="4"/>
  <c r="C26" i="4"/>
  <c r="N25" i="4"/>
  <c r="K25" i="4"/>
  <c r="H25" i="4"/>
  <c r="D25" i="4"/>
  <c r="C25" i="4"/>
  <c r="N29" i="4"/>
  <c r="K29" i="4"/>
  <c r="H29" i="4"/>
  <c r="D29" i="4"/>
  <c r="C29" i="4"/>
  <c r="N23" i="4"/>
  <c r="K23" i="4"/>
  <c r="H23" i="4"/>
  <c r="D23" i="4"/>
  <c r="C23" i="4"/>
  <c r="N22" i="4"/>
  <c r="K22" i="4"/>
  <c r="H22" i="4"/>
  <c r="D22" i="4"/>
  <c r="C22" i="4"/>
  <c r="N19" i="4"/>
  <c r="K19" i="4"/>
  <c r="H19" i="4"/>
  <c r="D19" i="4"/>
  <c r="C19" i="4"/>
  <c r="N20" i="4"/>
  <c r="K20" i="4"/>
  <c r="H20" i="4"/>
  <c r="D20" i="4"/>
  <c r="C20" i="4"/>
  <c r="N14" i="4"/>
  <c r="K14" i="4"/>
  <c r="H14" i="4"/>
  <c r="D14" i="4"/>
  <c r="C14" i="4"/>
  <c r="N18" i="4"/>
  <c r="K18" i="4"/>
  <c r="H18" i="4"/>
  <c r="D18" i="4"/>
  <c r="C18" i="4"/>
  <c r="N17" i="4"/>
  <c r="K17" i="4"/>
  <c r="H17" i="4"/>
  <c r="D17" i="4"/>
  <c r="C17" i="4"/>
  <c r="N16" i="4"/>
  <c r="K16" i="4"/>
  <c r="H16" i="4"/>
  <c r="D16" i="4"/>
  <c r="C16" i="4"/>
  <c r="N15" i="4"/>
  <c r="K15" i="4"/>
  <c r="H15" i="4"/>
  <c r="D15" i="4"/>
  <c r="C15" i="4"/>
  <c r="N21" i="4"/>
  <c r="K21" i="4"/>
  <c r="H21" i="4"/>
  <c r="D21" i="4"/>
  <c r="C21" i="4"/>
  <c r="N13" i="4"/>
  <c r="K13" i="4"/>
  <c r="H13" i="4"/>
  <c r="D13" i="4"/>
  <c r="C13" i="4"/>
  <c r="N12" i="4"/>
  <c r="K12" i="4"/>
  <c r="H12" i="4"/>
  <c r="D12" i="4"/>
  <c r="C12" i="4"/>
  <c r="N11" i="4"/>
  <c r="K11" i="4"/>
  <c r="H11" i="4"/>
  <c r="D11" i="4"/>
  <c r="C11" i="4"/>
  <c r="N10" i="4"/>
  <c r="K10" i="4"/>
  <c r="H10" i="4"/>
  <c r="D10" i="4"/>
  <c r="C10" i="4"/>
  <c r="N9" i="4"/>
  <c r="K9" i="4"/>
  <c r="H9" i="4"/>
  <c r="D9" i="4"/>
  <c r="C9" i="4"/>
  <c r="N8" i="4"/>
  <c r="K8" i="4"/>
  <c r="H8" i="4"/>
  <c r="D8" i="4"/>
  <c r="C8" i="4"/>
  <c r="N7" i="4"/>
  <c r="K7" i="4"/>
  <c r="H7" i="4"/>
  <c r="D7" i="4"/>
  <c r="C7" i="4"/>
  <c r="N6" i="4"/>
  <c r="K6" i="4"/>
  <c r="H6" i="4"/>
  <c r="D6" i="4"/>
  <c r="C6" i="4"/>
  <c r="N5" i="4"/>
  <c r="K5" i="4"/>
  <c r="H5" i="4"/>
  <c r="D5" i="4"/>
  <c r="C5" i="4"/>
  <c r="N4" i="4"/>
  <c r="K4" i="4"/>
  <c r="H4" i="4"/>
  <c r="D4" i="4"/>
  <c r="C4" i="4"/>
  <c r="N3" i="4"/>
  <c r="K3" i="4"/>
  <c r="H3" i="4"/>
  <c r="D3" i="4"/>
  <c r="C3" i="4"/>
  <c r="AS16" i="3"/>
  <c r="AO16" i="3"/>
  <c r="AI16" i="3"/>
  <c r="AJ16" i="3" s="1"/>
  <c r="AK16" i="3" s="1"/>
  <c r="AH16" i="3"/>
  <c r="AD16" i="3"/>
  <c r="X16" i="3"/>
  <c r="Y16" i="3" s="1"/>
  <c r="Z16" i="3" s="1"/>
  <c r="W16" i="3"/>
  <c r="S16" i="3"/>
  <c r="M16" i="3"/>
  <c r="U16" i="3" s="1"/>
  <c r="K16" i="3"/>
  <c r="I16" i="3"/>
  <c r="G16" i="3"/>
  <c r="E16" i="3"/>
  <c r="AS5" i="3"/>
  <c r="AO5" i="3"/>
  <c r="AI5" i="3"/>
  <c r="AQ5" i="3" s="1"/>
  <c r="AH5" i="3"/>
  <c r="AD5" i="3"/>
  <c r="X5" i="3"/>
  <c r="Y5" i="3" s="1"/>
  <c r="Z5" i="3" s="1"/>
  <c r="W5" i="3"/>
  <c r="S5" i="3"/>
  <c r="M5" i="3"/>
  <c r="N5" i="3" s="1"/>
  <c r="K5" i="3"/>
  <c r="I5" i="3"/>
  <c r="G5" i="3"/>
  <c r="E5" i="3"/>
  <c r="AS12" i="3"/>
  <c r="AO12" i="3"/>
  <c r="AI12" i="3"/>
  <c r="AJ12" i="3" s="1"/>
  <c r="AK12" i="3" s="1"/>
  <c r="AH12" i="3"/>
  <c r="AD12" i="3"/>
  <c r="X12" i="3"/>
  <c r="AB12" i="3" s="1"/>
  <c r="W12" i="3"/>
  <c r="S12" i="3"/>
  <c r="M12" i="3"/>
  <c r="U12" i="3" s="1"/>
  <c r="K12" i="3"/>
  <c r="I12" i="3"/>
  <c r="G12" i="3"/>
  <c r="E12" i="3"/>
  <c r="AS6" i="3"/>
  <c r="AO6" i="3"/>
  <c r="AI6" i="3"/>
  <c r="AM6" i="3" s="1"/>
  <c r="AH6" i="3"/>
  <c r="AD6" i="3"/>
  <c r="X6" i="3"/>
  <c r="AB6" i="3" s="1"/>
  <c r="W6" i="3"/>
  <c r="S6" i="3"/>
  <c r="M6" i="3"/>
  <c r="Q6" i="3" s="1"/>
  <c r="K6" i="3"/>
  <c r="I6" i="3"/>
  <c r="G6" i="3"/>
  <c r="E6" i="3"/>
  <c r="AS19" i="3"/>
  <c r="AO19" i="3"/>
  <c r="AI19" i="3"/>
  <c r="AJ19" i="3" s="1"/>
  <c r="AK19" i="3" s="1"/>
  <c r="AH19" i="3"/>
  <c r="AD19" i="3"/>
  <c r="X19" i="3"/>
  <c r="Y19" i="3" s="1"/>
  <c r="Z19" i="3" s="1"/>
  <c r="W19" i="3"/>
  <c r="S19" i="3"/>
  <c r="M19" i="3"/>
  <c r="N19" i="3" s="1"/>
  <c r="K19" i="3"/>
  <c r="I19" i="3"/>
  <c r="G19" i="3"/>
  <c r="E19" i="3"/>
  <c r="AS14" i="3"/>
  <c r="AO14" i="3"/>
  <c r="AI14" i="3"/>
  <c r="AJ14" i="3" s="1"/>
  <c r="AK14" i="3" s="1"/>
  <c r="AH14" i="3"/>
  <c r="AD14" i="3"/>
  <c r="X14" i="3"/>
  <c r="AB14" i="3" s="1"/>
  <c r="W14" i="3"/>
  <c r="S14" i="3"/>
  <c r="M14" i="3"/>
  <c r="U14" i="3" s="1"/>
  <c r="K14" i="3"/>
  <c r="I14" i="3"/>
  <c r="G14" i="3"/>
  <c r="E14" i="3"/>
  <c r="AS3" i="3"/>
  <c r="AO3" i="3"/>
  <c r="AI3" i="3"/>
  <c r="AM3" i="3" s="1"/>
  <c r="AH3" i="3"/>
  <c r="AD3" i="3"/>
  <c r="X3" i="3"/>
  <c r="AF3" i="3" s="1"/>
  <c r="W3" i="3"/>
  <c r="S3" i="3"/>
  <c r="M3" i="3"/>
  <c r="U3" i="3" s="1"/>
  <c r="K3" i="3"/>
  <c r="I3" i="3"/>
  <c r="G3" i="3"/>
  <c r="E3" i="3"/>
  <c r="AS4" i="3"/>
  <c r="AO4" i="3"/>
  <c r="AI4" i="3"/>
  <c r="AM4" i="3" s="1"/>
  <c r="AH4" i="3"/>
  <c r="AD4" i="3"/>
  <c r="X4" i="3"/>
  <c r="AF4" i="3" s="1"/>
  <c r="W4" i="3"/>
  <c r="S4" i="3"/>
  <c r="M4" i="3"/>
  <c r="U4" i="3" s="1"/>
  <c r="K4" i="3"/>
  <c r="I4" i="3"/>
  <c r="G4" i="3"/>
  <c r="E4" i="3"/>
  <c r="AS20" i="3"/>
  <c r="AO20" i="3"/>
  <c r="AI20" i="3"/>
  <c r="AJ20" i="3" s="1"/>
  <c r="AK20" i="3" s="1"/>
  <c r="AH20" i="3"/>
  <c r="AD20" i="3"/>
  <c r="X20" i="3"/>
  <c r="AF20" i="3" s="1"/>
  <c r="W20" i="3"/>
  <c r="S20" i="3"/>
  <c r="M20" i="3"/>
  <c r="Q20" i="3" s="1"/>
  <c r="K20" i="3"/>
  <c r="I20" i="3"/>
  <c r="G20" i="3"/>
  <c r="E20" i="3"/>
  <c r="AS10" i="3"/>
  <c r="AO10" i="3"/>
  <c r="AI10" i="3"/>
  <c r="AM10" i="3" s="1"/>
  <c r="AH10" i="3"/>
  <c r="AD10" i="3"/>
  <c r="X10" i="3"/>
  <c r="Y10" i="3" s="1"/>
  <c r="Z10" i="3" s="1"/>
  <c r="W10" i="3"/>
  <c r="S10" i="3"/>
  <c r="M10" i="3"/>
  <c r="N10" i="3" s="1"/>
  <c r="K10" i="3"/>
  <c r="I10" i="3"/>
  <c r="G10" i="3"/>
  <c r="E10" i="3"/>
  <c r="AS9" i="3"/>
  <c r="AO9" i="3"/>
  <c r="AI9" i="3"/>
  <c r="AQ9" i="3" s="1"/>
  <c r="AH9" i="3"/>
  <c r="AD9" i="3"/>
  <c r="X9" i="3"/>
  <c r="Y9" i="3" s="1"/>
  <c r="Z9" i="3" s="1"/>
  <c r="W9" i="3"/>
  <c r="S9" i="3"/>
  <c r="M9" i="3"/>
  <c r="U9" i="3" s="1"/>
  <c r="K9" i="3"/>
  <c r="I9" i="3"/>
  <c r="G9" i="3"/>
  <c r="E9" i="3"/>
  <c r="AS18" i="3"/>
  <c r="AO18" i="3"/>
  <c r="AI18" i="3"/>
  <c r="AM18" i="3" s="1"/>
  <c r="AH18" i="3"/>
  <c r="AD18" i="3"/>
  <c r="X18" i="3"/>
  <c r="AF18" i="3" s="1"/>
  <c r="W18" i="3"/>
  <c r="S18" i="3"/>
  <c r="M18" i="3"/>
  <c r="U18" i="3" s="1"/>
  <c r="K18" i="3"/>
  <c r="I18" i="3"/>
  <c r="G18" i="3"/>
  <c r="E18" i="3"/>
  <c r="AS11" i="3"/>
  <c r="AO11" i="3"/>
  <c r="AI11" i="3"/>
  <c r="AQ11" i="3" s="1"/>
  <c r="AH11" i="3"/>
  <c r="AD11" i="3"/>
  <c r="X11" i="3"/>
  <c r="Y11" i="3" s="1"/>
  <c r="Z11" i="3" s="1"/>
  <c r="W11" i="3"/>
  <c r="S11" i="3"/>
  <c r="M11" i="3"/>
  <c r="Q11" i="3" s="1"/>
  <c r="K11" i="3"/>
  <c r="I11" i="3"/>
  <c r="G11" i="3"/>
  <c r="E11" i="3"/>
  <c r="AS17" i="3"/>
  <c r="AO17" i="3"/>
  <c r="AI17" i="3"/>
  <c r="AQ17" i="3" s="1"/>
  <c r="AH17" i="3"/>
  <c r="AD17" i="3"/>
  <c r="X17" i="3"/>
  <c r="AB17" i="3" s="1"/>
  <c r="W17" i="3"/>
  <c r="S17" i="3"/>
  <c r="M17" i="3"/>
  <c r="N17" i="3" s="1"/>
  <c r="K17" i="3"/>
  <c r="I17" i="3"/>
  <c r="G17" i="3"/>
  <c r="E17" i="3"/>
  <c r="AS15" i="3"/>
  <c r="AO15" i="3"/>
  <c r="AI15" i="3"/>
  <c r="AM15" i="3" s="1"/>
  <c r="AH15" i="3"/>
  <c r="AD15" i="3"/>
  <c r="X15" i="3"/>
  <c r="AB15" i="3" s="1"/>
  <c r="W15" i="3"/>
  <c r="S15" i="3"/>
  <c r="M15" i="3"/>
  <c r="U15" i="3" s="1"/>
  <c r="K15" i="3"/>
  <c r="I15" i="3"/>
  <c r="G15" i="3"/>
  <c r="E15" i="3"/>
  <c r="AS13" i="3"/>
  <c r="AO13" i="3"/>
  <c r="AI13" i="3"/>
  <c r="AM13" i="3" s="1"/>
  <c r="AH13" i="3"/>
  <c r="AD13" i="3"/>
  <c r="X13" i="3"/>
  <c r="AB13" i="3" s="1"/>
  <c r="W13" i="3"/>
  <c r="S13" i="3"/>
  <c r="M13" i="3"/>
  <c r="Q13" i="3" s="1"/>
  <c r="K13" i="3"/>
  <c r="I13" i="3"/>
  <c r="G13" i="3"/>
  <c r="E13" i="3"/>
  <c r="AS7" i="3"/>
  <c r="AO7" i="3"/>
  <c r="AI7" i="3"/>
  <c r="AQ7" i="3" s="1"/>
  <c r="AH7" i="3"/>
  <c r="AD7" i="3"/>
  <c r="X7" i="3"/>
  <c r="Y7" i="3" s="1"/>
  <c r="Z7" i="3" s="1"/>
  <c r="W7" i="3"/>
  <c r="S7" i="3"/>
  <c r="M7" i="3"/>
  <c r="Q7" i="3" s="1"/>
  <c r="K7" i="3"/>
  <c r="I7" i="3"/>
  <c r="G7" i="3"/>
  <c r="E7" i="3"/>
  <c r="AS8" i="3"/>
  <c r="AO8" i="3"/>
  <c r="AI8" i="3"/>
  <c r="AM8" i="3" s="1"/>
  <c r="AH8" i="3"/>
  <c r="AD8" i="3"/>
  <c r="X8" i="3"/>
  <c r="AF8" i="3" s="1"/>
  <c r="W8" i="3"/>
  <c r="S8" i="3"/>
  <c r="M8" i="3"/>
  <c r="U8" i="3" s="1"/>
  <c r="K8" i="3"/>
  <c r="I8" i="3"/>
  <c r="G8" i="3"/>
  <c r="E8" i="3"/>
  <c r="X7" i="6" l="1"/>
  <c r="H51" i="2"/>
  <c r="H12" i="2"/>
  <c r="Z13" i="6"/>
  <c r="Z3" i="6"/>
  <c r="Y13" i="6"/>
  <c r="Y3" i="6"/>
  <c r="E53" i="2"/>
  <c r="H53" i="2"/>
  <c r="D50" i="2"/>
  <c r="N48" i="2"/>
  <c r="E51" i="2"/>
  <c r="E72" i="4"/>
  <c r="E75" i="4"/>
  <c r="E73" i="4"/>
  <c r="E71" i="4"/>
  <c r="E74" i="4"/>
  <c r="AM21" i="3"/>
  <c r="L21" i="3" a="1"/>
  <c r="L21" i="3" s="1"/>
  <c r="AF21" i="3"/>
  <c r="Y21" i="3"/>
  <c r="Z21" i="3" s="1"/>
  <c r="B21" i="3"/>
  <c r="J21" i="3" s="1"/>
  <c r="N21" i="3"/>
  <c r="O21" i="3" s="1"/>
  <c r="H21" i="3" a="1"/>
  <c r="H21" i="3" s="1"/>
  <c r="AJ21" i="3"/>
  <c r="AK21" i="3" s="1"/>
  <c r="U21" i="3"/>
  <c r="Z11" i="6"/>
  <c r="Y14" i="6"/>
  <c r="Y11" i="6"/>
  <c r="Z14" i="6"/>
  <c r="O4" i="6"/>
  <c r="O3" i="6"/>
  <c r="O13" i="6"/>
  <c r="N4" i="6"/>
  <c r="N3" i="6"/>
  <c r="N13" i="6"/>
  <c r="E70" i="4"/>
  <c r="E66" i="4"/>
  <c r="E68" i="4"/>
  <c r="Y6" i="6"/>
  <c r="O7" i="6"/>
  <c r="O11" i="6"/>
  <c r="O10" i="6"/>
  <c r="N7" i="6"/>
  <c r="Z6" i="6"/>
  <c r="N11" i="6"/>
  <c r="N10" i="6"/>
  <c r="E69" i="4"/>
  <c r="E64" i="4"/>
  <c r="E63" i="4"/>
  <c r="E67" i="4"/>
  <c r="E65" i="4"/>
  <c r="Y9" i="6"/>
  <c r="Y15" i="6"/>
  <c r="N18" i="6"/>
  <c r="Z15" i="6"/>
  <c r="Z9" i="6"/>
  <c r="Z8" i="6"/>
  <c r="Y8" i="6"/>
  <c r="O18" i="6"/>
  <c r="Q4" i="3"/>
  <c r="H46" i="2"/>
  <c r="D53" i="2"/>
  <c r="D30" i="2"/>
  <c r="H29" i="2"/>
  <c r="H50" i="2"/>
  <c r="H5" i="2"/>
  <c r="K7" i="2"/>
  <c r="E12" i="2"/>
  <c r="E30" i="2"/>
  <c r="E26" i="2"/>
  <c r="C53" i="2"/>
  <c r="B52" i="2"/>
  <c r="B43" i="2"/>
  <c r="N46" i="2"/>
  <c r="E50" i="2"/>
  <c r="B44" i="2"/>
  <c r="Q7" i="2"/>
  <c r="J13" i="2"/>
  <c r="J9" i="2"/>
  <c r="P7" i="2"/>
  <c r="H48" i="2"/>
  <c r="I9" i="2"/>
  <c r="H30" i="2"/>
  <c r="I11" i="2"/>
  <c r="H26" i="2"/>
  <c r="I7" i="2"/>
  <c r="B23" i="2"/>
  <c r="B38" i="2"/>
  <c r="N50" i="2"/>
  <c r="D28" i="2"/>
  <c r="D12" i="2"/>
  <c r="B31" i="2"/>
  <c r="B19" i="2"/>
  <c r="N29" i="2"/>
  <c r="N30" i="2"/>
  <c r="C12" i="2"/>
  <c r="N26" i="2"/>
  <c r="N4" i="2"/>
  <c r="N11" i="2" s="1"/>
  <c r="B22" i="2"/>
  <c r="N12" i="2"/>
  <c r="N53" i="2"/>
  <c r="N5" i="2"/>
  <c r="Q10" i="2"/>
  <c r="E48" i="2"/>
  <c r="C50" i="2"/>
  <c r="B39" i="2"/>
  <c r="C51" i="2"/>
  <c r="N51" i="2"/>
  <c r="O7" i="2"/>
  <c r="D51" i="2"/>
  <c r="N32" i="2"/>
  <c r="O10" i="2"/>
  <c r="P17" i="2"/>
  <c r="C26" i="2"/>
  <c r="B24" i="2"/>
  <c r="E5" i="2"/>
  <c r="P10" i="2"/>
  <c r="Q17" i="2"/>
  <c r="D26" i="2"/>
  <c r="N28" i="2"/>
  <c r="O13" i="2"/>
  <c r="C32" i="2"/>
  <c r="C4" i="2"/>
  <c r="C36" i="2" s="1"/>
  <c r="O9" i="2"/>
  <c r="P13" i="2"/>
  <c r="E28" i="2"/>
  <c r="D29" i="2"/>
  <c r="C28" i="2"/>
  <c r="C30" i="2"/>
  <c r="D32" i="2"/>
  <c r="D4" i="2"/>
  <c r="D36" i="2" s="1"/>
  <c r="P9" i="2"/>
  <c r="O11" i="2"/>
  <c r="Q13" i="2"/>
  <c r="E29" i="2"/>
  <c r="O36" i="2"/>
  <c r="Q9" i="2"/>
  <c r="P11" i="2"/>
  <c r="Q11" i="2"/>
  <c r="B20" i="2"/>
  <c r="D5" i="2"/>
  <c r="C46" i="2"/>
  <c r="D46" i="2"/>
  <c r="E46" i="2"/>
  <c r="K9" i="2"/>
  <c r="I17" i="2"/>
  <c r="I36" i="2"/>
  <c r="K17" i="2"/>
  <c r="J36" i="2"/>
  <c r="C48" i="2"/>
  <c r="C5" i="2"/>
  <c r="J11" i="2"/>
  <c r="B41" i="2"/>
  <c r="D48" i="2"/>
  <c r="K11" i="2"/>
  <c r="J7" i="2"/>
  <c r="I13" i="2"/>
  <c r="H32" i="2"/>
  <c r="H4" i="2"/>
  <c r="H17" i="2" s="1"/>
  <c r="K13" i="2"/>
  <c r="C29" i="2"/>
  <c r="E32" i="2"/>
  <c r="K36" i="2"/>
  <c r="E4" i="2"/>
  <c r="E17" i="2" s="1"/>
  <c r="H28" i="2"/>
  <c r="J10" i="2"/>
  <c r="E62" i="4"/>
  <c r="E60" i="4"/>
  <c r="E61" i="4"/>
  <c r="H4" i="3" a="1"/>
  <c r="H4" i="3" s="1"/>
  <c r="AM17" i="3"/>
  <c r="AJ17" i="3"/>
  <c r="AK17" i="3" s="1"/>
  <c r="AF19" i="3"/>
  <c r="AB19" i="3"/>
  <c r="Y19" i="6"/>
  <c r="B4" i="3"/>
  <c r="J4" i="3" s="1"/>
  <c r="H15" i="3" a="1"/>
  <c r="H15" i="3" s="1"/>
  <c r="H12" i="3" a="1"/>
  <c r="H12" i="3" s="1"/>
  <c r="U6" i="3"/>
  <c r="Q16" i="3"/>
  <c r="AM14" i="3"/>
  <c r="AQ19" i="3"/>
  <c r="AQ4" i="3"/>
  <c r="AQ8" i="3"/>
  <c r="AM12" i="3"/>
  <c r="B16" i="3"/>
  <c r="J16" i="3" s="1"/>
  <c r="AM20" i="3"/>
  <c r="AM19" i="3"/>
  <c r="AQ12" i="3"/>
  <c r="AQ14" i="3"/>
  <c r="AQ6" i="3"/>
  <c r="L17" i="3" a="1"/>
  <c r="L17" i="3" s="1"/>
  <c r="AF7" i="3"/>
  <c r="AF16" i="3"/>
  <c r="AF15" i="3"/>
  <c r="H9" i="3" a="1"/>
  <c r="H9" i="3" s="1"/>
  <c r="H3" i="3" a="1"/>
  <c r="H3" i="3" s="1"/>
  <c r="Y21" i="6"/>
  <c r="B13" i="3"/>
  <c r="F13" i="3" s="1"/>
  <c r="AF10" i="3"/>
  <c r="AF12" i="3"/>
  <c r="Y12" i="6"/>
  <c r="AB16" i="3"/>
  <c r="L18" i="3" a="1"/>
  <c r="L18" i="3" s="1"/>
  <c r="Q3" i="3"/>
  <c r="N16" i="3"/>
  <c r="O16" i="3" s="1"/>
  <c r="U13" i="3"/>
  <c r="U19" i="3"/>
  <c r="B6" i="3"/>
  <c r="J6" i="3" s="1"/>
  <c r="U7" i="3"/>
  <c r="N9" i="6"/>
  <c r="N4" i="3"/>
  <c r="O4" i="3" s="1"/>
  <c r="N3" i="3"/>
  <c r="O3" i="3" s="1"/>
  <c r="H13" i="3" a="1"/>
  <c r="H13" i="3" s="1"/>
  <c r="H5" i="3" a="1"/>
  <c r="H5" i="3" s="1"/>
  <c r="AJ18" i="3"/>
  <c r="AK18" i="3" s="1"/>
  <c r="AQ16" i="3"/>
  <c r="AJ15" i="3"/>
  <c r="AK15" i="3" s="1"/>
  <c r="AQ18" i="3"/>
  <c r="L19" i="3" a="1"/>
  <c r="L19" i="3" s="1"/>
  <c r="AJ5" i="3"/>
  <c r="AK5" i="3" s="1"/>
  <c r="L16" i="3" a="1"/>
  <c r="L16" i="3" s="1"/>
  <c r="AM5" i="3"/>
  <c r="AM16" i="3"/>
  <c r="L8" i="3" a="1"/>
  <c r="L8" i="3" s="1"/>
  <c r="AJ8" i="3"/>
  <c r="AK8" i="3" s="1"/>
  <c r="L7" i="3" a="1"/>
  <c r="L7" i="3" s="1"/>
  <c r="AQ20" i="3"/>
  <c r="AJ4" i="3"/>
  <c r="AK4" i="3" s="1"/>
  <c r="AQ15" i="3"/>
  <c r="AQ13" i="3"/>
  <c r="AJ11" i="3"/>
  <c r="AK11" i="3" s="1"/>
  <c r="AQ10" i="3"/>
  <c r="AQ3" i="3"/>
  <c r="AJ6" i="3"/>
  <c r="AK6" i="3" s="1"/>
  <c r="B12" i="3"/>
  <c r="F12" i="3" s="1"/>
  <c r="AM7" i="3"/>
  <c r="AM9" i="3"/>
  <c r="AJ7" i="3"/>
  <c r="AK7" i="3" s="1"/>
  <c r="AM11" i="3"/>
  <c r="AJ13" i="3"/>
  <c r="AK13" i="3" s="1"/>
  <c r="AJ9" i="3"/>
  <c r="AK9" i="3" s="1"/>
  <c r="AJ10" i="3"/>
  <c r="AK10" i="3" s="1"/>
  <c r="AJ3" i="3"/>
  <c r="AK3" i="3" s="1"/>
  <c r="L15" i="3" a="1"/>
  <c r="L15" i="3" s="1"/>
  <c r="L20" i="3" a="1"/>
  <c r="L20" i="3" s="1"/>
  <c r="L14" i="3" a="1"/>
  <c r="L14" i="3" s="1"/>
  <c r="L11" i="3" a="1"/>
  <c r="L11" i="3" s="1"/>
  <c r="L10" i="3" a="1"/>
  <c r="L10" i="3" s="1"/>
  <c r="Y13" i="3"/>
  <c r="Z13" i="3" s="1"/>
  <c r="AF5" i="3"/>
  <c r="AF13" i="3"/>
  <c r="AF14" i="3"/>
  <c r="AF6" i="3"/>
  <c r="Z12" i="6"/>
  <c r="Z21" i="6"/>
  <c r="Z19" i="6"/>
  <c r="L3" i="3" a="1"/>
  <c r="L3" i="3" s="1"/>
  <c r="Z17" i="6"/>
  <c r="X17" i="6" s="1"/>
  <c r="AF11" i="3"/>
  <c r="B15" i="3"/>
  <c r="F15" i="3" s="1"/>
  <c r="Z5" i="6"/>
  <c r="Y14" i="3"/>
  <c r="Z14" i="3" s="1"/>
  <c r="AB5" i="3"/>
  <c r="B7" i="3"/>
  <c r="F7" i="3" s="1"/>
  <c r="AB7" i="3"/>
  <c r="B10" i="3"/>
  <c r="J10" i="3" s="1"/>
  <c r="AB10" i="3"/>
  <c r="L4" i="3" a="1"/>
  <c r="L4" i="3" s="1"/>
  <c r="AB11" i="3"/>
  <c r="H18" i="3" a="1"/>
  <c r="H18" i="3" s="1"/>
  <c r="H19" i="3" a="1"/>
  <c r="H19" i="3" s="1"/>
  <c r="H8" i="3" a="1"/>
  <c r="H8" i="3" s="1"/>
  <c r="AB8" i="3"/>
  <c r="B9" i="3"/>
  <c r="F9" i="3" s="1"/>
  <c r="Y20" i="3"/>
  <c r="Z20" i="3" s="1"/>
  <c r="B3" i="3"/>
  <c r="F3" i="3" s="1"/>
  <c r="Y3" i="3"/>
  <c r="Z3" i="3" s="1"/>
  <c r="Y15" i="3"/>
  <c r="Z15" i="3" s="1"/>
  <c r="Y12" i="3"/>
  <c r="Z12" i="3" s="1"/>
  <c r="Y8" i="3"/>
  <c r="Y17" i="3"/>
  <c r="Z17" i="3" s="1"/>
  <c r="H14" i="3" a="1"/>
  <c r="H14" i="3" s="1"/>
  <c r="H17" i="3" a="1"/>
  <c r="H17" i="3" s="1"/>
  <c r="AF17" i="3"/>
  <c r="AB18" i="3"/>
  <c r="AF9" i="3"/>
  <c r="AB20" i="3"/>
  <c r="AB4" i="3"/>
  <c r="AB3" i="3"/>
  <c r="Y6" i="3"/>
  <c r="Z6" i="3" s="1"/>
  <c r="Y18" i="3"/>
  <c r="Z18" i="3" s="1"/>
  <c r="AB9" i="3"/>
  <c r="Y4" i="3"/>
  <c r="Z4" i="3" s="1"/>
  <c r="H10" i="3" a="1"/>
  <c r="H10" i="3" s="1"/>
  <c r="Y5" i="6"/>
  <c r="Y20" i="6"/>
  <c r="X20" i="6" s="1"/>
  <c r="O8" i="6"/>
  <c r="O12" i="6"/>
  <c r="O5" i="6"/>
  <c r="L12" i="3" a="1"/>
  <c r="L12" i="3" s="1"/>
  <c r="O21" i="6"/>
  <c r="O17" i="6"/>
  <c r="AV5" i="6"/>
  <c r="O19" i="6"/>
  <c r="O14" i="6"/>
  <c r="M14" i="6" s="1"/>
  <c r="L5" i="3" a="1"/>
  <c r="L5" i="3" s="1"/>
  <c r="O6" i="6"/>
  <c r="N15" i="3"/>
  <c r="O15" i="3" s="1"/>
  <c r="N12" i="3"/>
  <c r="L13" i="3" a="1"/>
  <c r="L13" i="3" s="1"/>
  <c r="Q15" i="3"/>
  <c r="U11" i="3"/>
  <c r="B18" i="3"/>
  <c r="J18" i="3" s="1"/>
  <c r="N18" i="3"/>
  <c r="O18" i="3" s="1"/>
  <c r="L6" i="3" a="1"/>
  <c r="L6" i="3" s="1"/>
  <c r="Q12" i="3"/>
  <c r="U5" i="3"/>
  <c r="N8" i="3"/>
  <c r="B17" i="3"/>
  <c r="J17" i="3" s="1"/>
  <c r="Q18" i="3"/>
  <c r="L9" i="3" a="1"/>
  <c r="L9" i="3" s="1"/>
  <c r="O15" i="6"/>
  <c r="O20" i="6"/>
  <c r="N13" i="3"/>
  <c r="N6" i="3"/>
  <c r="O6" i="3" s="1"/>
  <c r="N9" i="3"/>
  <c r="O9" i="3" s="1"/>
  <c r="B14" i="3"/>
  <c r="F14" i="3" s="1"/>
  <c r="O9" i="6"/>
  <c r="Q9" i="3"/>
  <c r="U20" i="3"/>
  <c r="AV4" i="6"/>
  <c r="O19" i="3"/>
  <c r="C19" i="3"/>
  <c r="O17" i="3"/>
  <c r="O10" i="3"/>
  <c r="O5" i="3"/>
  <c r="N14" i="3"/>
  <c r="N21" i="6"/>
  <c r="N16" i="6"/>
  <c r="M16" i="6" s="1"/>
  <c r="B8" i="3"/>
  <c r="Q8" i="3"/>
  <c r="H7" i="3" a="1"/>
  <c r="H7" i="3" s="1"/>
  <c r="N7" i="3"/>
  <c r="Q17" i="3"/>
  <c r="H11" i="3" a="1"/>
  <c r="H11" i="3" s="1"/>
  <c r="N11" i="3"/>
  <c r="Q10" i="3"/>
  <c r="H20" i="3" a="1"/>
  <c r="H20" i="3" s="1"/>
  <c r="N20" i="3"/>
  <c r="Q14" i="3"/>
  <c r="U17" i="3"/>
  <c r="B11" i="3"/>
  <c r="J11" i="3" s="1"/>
  <c r="U10" i="3"/>
  <c r="B20" i="3"/>
  <c r="J20" i="3" s="1"/>
  <c r="B19" i="3"/>
  <c r="J19" i="3" s="1"/>
  <c r="Q19" i="3"/>
  <c r="H6" i="3" a="1"/>
  <c r="H6" i="3" s="1"/>
  <c r="B5" i="3"/>
  <c r="J5" i="3" s="1"/>
  <c r="Q5" i="3"/>
  <c r="H16" i="3" a="1"/>
  <c r="H16" i="3" s="1"/>
  <c r="N8" i="6"/>
  <c r="N12" i="6"/>
  <c r="N19" i="6"/>
  <c r="N17" i="6"/>
  <c r="N5" i="6"/>
  <c r="N15" i="6"/>
  <c r="N20" i="6"/>
  <c r="N6" i="6"/>
  <c r="E57" i="4"/>
  <c r="E38" i="4"/>
  <c r="E5" i="4"/>
  <c r="E24" i="4"/>
  <c r="E22" i="4"/>
  <c r="E51" i="4"/>
  <c r="E36" i="4"/>
  <c r="E7" i="4"/>
  <c r="E20" i="4"/>
  <c r="E58" i="4"/>
  <c r="E55" i="4"/>
  <c r="E40" i="4"/>
  <c r="E30" i="4"/>
  <c r="E28" i="4"/>
  <c r="E27" i="4"/>
  <c r="E10" i="4"/>
  <c r="E18" i="4"/>
  <c r="E26" i="4"/>
  <c r="E34" i="4"/>
  <c r="E46" i="4"/>
  <c r="E50" i="4"/>
  <c r="E23" i="4"/>
  <c r="E9" i="4"/>
  <c r="E17" i="4"/>
  <c r="E25" i="4"/>
  <c r="E48" i="4"/>
  <c r="E54" i="4"/>
  <c r="E29" i="4"/>
  <c r="E19" i="4"/>
  <c r="E35" i="4"/>
  <c r="E45" i="4"/>
  <c r="E13" i="4"/>
  <c r="E56" i="4"/>
  <c r="E44" i="4"/>
  <c r="E32" i="4"/>
  <c r="E14" i="4"/>
  <c r="E3" i="4"/>
  <c r="E59" i="4"/>
  <c r="E47" i="4"/>
  <c r="E39" i="4"/>
  <c r="E31" i="4"/>
  <c r="E53" i="4"/>
  <c r="E52" i="4"/>
  <c r="E49" i="4"/>
  <c r="E43" i="4"/>
  <c r="E41" i="4"/>
  <c r="E37" i="4"/>
  <c r="E42" i="4"/>
  <c r="E33" i="4"/>
  <c r="E16" i="4"/>
  <c r="E21" i="4"/>
  <c r="E12" i="4"/>
  <c r="E11" i="4"/>
  <c r="E6" i="4"/>
  <c r="E15" i="4"/>
  <c r="E8" i="4"/>
  <c r="E4" i="4"/>
  <c r="X13" i="6" l="1"/>
  <c r="X3" i="6"/>
  <c r="X11" i="6"/>
  <c r="F21" i="3"/>
  <c r="C21" i="3"/>
  <c r="D21" i="3" s="1"/>
  <c r="X14" i="6"/>
  <c r="M4" i="6"/>
  <c r="M13" i="6"/>
  <c r="M3" i="6"/>
  <c r="X6" i="6"/>
  <c r="M11" i="6"/>
  <c r="M10" i="6"/>
  <c r="M7" i="6"/>
  <c r="X8" i="6"/>
  <c r="X15" i="6"/>
  <c r="X9" i="6"/>
  <c r="M18" i="6"/>
  <c r="B12" i="2"/>
  <c r="B53" i="2"/>
  <c r="B51" i="2"/>
  <c r="B50" i="2"/>
  <c r="B46" i="2"/>
  <c r="B4" i="2"/>
  <c r="B17" i="2" s="1"/>
  <c r="B48" i="2"/>
  <c r="B30" i="2"/>
  <c r="D10" i="2"/>
  <c r="D7" i="2"/>
  <c r="D13" i="2"/>
  <c r="B26" i="2"/>
  <c r="D17" i="2"/>
  <c r="B29" i="2"/>
  <c r="B32" i="2"/>
  <c r="D9" i="2"/>
  <c r="B28" i="2"/>
  <c r="N36" i="2"/>
  <c r="C9" i="2"/>
  <c r="N10" i="2"/>
  <c r="N13" i="2"/>
  <c r="N9" i="2"/>
  <c r="N17" i="2"/>
  <c r="N7" i="2"/>
  <c r="C17" i="2"/>
  <c r="C10" i="2"/>
  <c r="C13" i="2"/>
  <c r="C11" i="2"/>
  <c r="D11" i="2"/>
  <c r="B5" i="2"/>
  <c r="C7" i="2"/>
  <c r="E11" i="2"/>
  <c r="E9" i="2"/>
  <c r="E7" i="2"/>
  <c r="E10" i="2"/>
  <c r="E36" i="2"/>
  <c r="E13" i="2"/>
  <c r="H36" i="2"/>
  <c r="H13" i="2"/>
  <c r="H11" i="2"/>
  <c r="H10" i="2"/>
  <c r="H9" i="2"/>
  <c r="H7" i="2"/>
  <c r="M17" i="6"/>
  <c r="M9" i="6"/>
  <c r="X19" i="6"/>
  <c r="F4" i="3"/>
  <c r="X21" i="6"/>
  <c r="C12" i="3"/>
  <c r="D12" i="3" s="1"/>
  <c r="F6" i="3"/>
  <c r="M8" i="6"/>
  <c r="M12" i="6"/>
  <c r="C16" i="3"/>
  <c r="D16" i="3" s="1"/>
  <c r="F16" i="3"/>
  <c r="J13" i="3"/>
  <c r="C8" i="3"/>
  <c r="D8" i="3" s="1"/>
  <c r="C17" i="3"/>
  <c r="D17" i="3" s="1"/>
  <c r="X12" i="6"/>
  <c r="M6" i="6"/>
  <c r="F10" i="3"/>
  <c r="J15" i="3"/>
  <c r="J7" i="3"/>
  <c r="C5" i="3"/>
  <c r="D5" i="3" s="1"/>
  <c r="J12" i="3"/>
  <c r="C10" i="3"/>
  <c r="D10" i="3" s="1"/>
  <c r="J9" i="3"/>
  <c r="F11" i="3"/>
  <c r="AV18" i="6"/>
  <c r="C4" i="3"/>
  <c r="D4" i="3" s="1"/>
  <c r="X5" i="6"/>
  <c r="F19" i="3"/>
  <c r="J14" i="3"/>
  <c r="Z8" i="3"/>
  <c r="AV13" i="6"/>
  <c r="D19" i="3"/>
  <c r="J3" i="3"/>
  <c r="C3" i="3"/>
  <c r="D3" i="3" s="1"/>
  <c r="M19" i="6"/>
  <c r="M5" i="6"/>
  <c r="O8" i="3"/>
  <c r="M21" i="6"/>
  <c r="C6" i="3"/>
  <c r="D6" i="3" s="1"/>
  <c r="C18" i="3"/>
  <c r="D18" i="3" s="1"/>
  <c r="AV8" i="6"/>
  <c r="O13" i="3"/>
  <c r="C13" i="3"/>
  <c r="D13" i="3" s="1"/>
  <c r="C9" i="3"/>
  <c r="D9" i="3" s="1"/>
  <c r="F17" i="3"/>
  <c r="M20" i="6"/>
  <c r="F18" i="3"/>
  <c r="M15" i="6"/>
  <c r="C15" i="3"/>
  <c r="D15" i="3" s="1"/>
  <c r="O12" i="3"/>
  <c r="C14" i="3"/>
  <c r="D14" i="3" s="1"/>
  <c r="O14" i="3"/>
  <c r="J8" i="3"/>
  <c r="F8" i="3"/>
  <c r="O11" i="3"/>
  <c r="C11" i="3"/>
  <c r="D11" i="3" s="1"/>
  <c r="F20" i="3"/>
  <c r="O7" i="3"/>
  <c r="C7" i="3"/>
  <c r="D7" i="3" s="1"/>
  <c r="O20" i="3"/>
  <c r="C20" i="3"/>
  <c r="D20" i="3" s="1"/>
  <c r="F5" i="3"/>
  <c r="B10" i="2" l="1"/>
  <c r="B13" i="2"/>
  <c r="B36" i="2"/>
  <c r="B11" i="2"/>
  <c r="B7" i="2"/>
  <c r="B9" i="2"/>
  <c r="AV3" i="6" a="1"/>
  <c r="AV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<sst xmlns="http://schemas.openxmlformats.org/spreadsheetml/2006/main" count="2463" uniqueCount="98">
  <si>
    <t>Players</t>
  </si>
  <si>
    <t>Killed</t>
  </si>
  <si>
    <t>x</t>
  </si>
  <si>
    <t>Kills</t>
  </si>
  <si>
    <t>Game</t>
  </si>
  <si>
    <t>Final</t>
  </si>
  <si>
    <t>Survived</t>
  </si>
  <si>
    <t>Colin</t>
  </si>
  <si>
    <t>Brenda</t>
  </si>
  <si>
    <t>Imposter 2</t>
  </si>
  <si>
    <t>Imposter 1</t>
  </si>
  <si>
    <t>Sean</t>
  </si>
  <si>
    <t>Robbie</t>
  </si>
  <si>
    <t>Crew</t>
  </si>
  <si>
    <t>Vicky</t>
  </si>
  <si>
    <t>Imp</t>
  </si>
  <si>
    <t>Mack</t>
  </si>
  <si>
    <t>Michael</t>
  </si>
  <si>
    <t>Map</t>
  </si>
  <si>
    <t>Mira</t>
  </si>
  <si>
    <t>Date</t>
  </si>
  <si>
    <t>09/12/2020</t>
  </si>
  <si>
    <t>Skeld</t>
  </si>
  <si>
    <t>Imposter</t>
  </si>
  <si>
    <t>Polus</t>
  </si>
  <si>
    <t>9 Players</t>
  </si>
  <si>
    <t>10 Players</t>
  </si>
  <si>
    <t>% Crew</t>
  </si>
  <si>
    <t>% Imposter</t>
  </si>
  <si>
    <t>Games</t>
  </si>
  <si>
    <t>Wins</t>
  </si>
  <si>
    <t>Win %</t>
  </si>
  <si>
    <t>Crew 1</t>
  </si>
  <si>
    <t>Crew 2</t>
  </si>
  <si>
    <t>Crew 3</t>
  </si>
  <si>
    <t>Crew 4</t>
  </si>
  <si>
    <t>Crew 5</t>
  </si>
  <si>
    <t>Crew 6</t>
  </si>
  <si>
    <t>Crew 7</t>
  </si>
  <si>
    <t>Crew 8</t>
  </si>
  <si>
    <t>Hoang-Nghi</t>
  </si>
  <si>
    <t>Dix</t>
  </si>
  <si>
    <t>Total</t>
  </si>
  <si>
    <t>Avg Final</t>
  </si>
  <si>
    <t>% Survival</t>
  </si>
  <si>
    <t>% Voted</t>
  </si>
  <si>
    <t>% Killed</t>
  </si>
  <si>
    <t>Voted</t>
  </si>
  <si>
    <t>Avg # Kills</t>
  </si>
  <si>
    <t>Voted %</t>
  </si>
  <si>
    <t># Kills</t>
  </si>
  <si>
    <t>Survived %</t>
  </si>
  <si>
    <t>15/12/2020</t>
  </si>
  <si>
    <t>Taylor</t>
  </si>
  <si>
    <t>Cameron</t>
  </si>
  <si>
    <t>Mike A.</t>
  </si>
  <si>
    <t>All Games</t>
  </si>
  <si>
    <t>Crew %</t>
  </si>
  <si>
    <t>Crew Games</t>
  </si>
  <si>
    <t>W%</t>
  </si>
  <si>
    <t>Imp %</t>
  </si>
  <si>
    <t>Crew Wins</t>
  </si>
  <si>
    <t>Imp Games</t>
  </si>
  <si>
    <t>Imp Wins</t>
  </si>
  <si>
    <t>W% (Crew)</t>
  </si>
  <si>
    <t>W% (Imp)</t>
  </si>
  <si>
    <t>Sundus</t>
  </si>
  <si>
    <t>18/12/2020</t>
  </si>
  <si>
    <t>Daniel</t>
  </si>
  <si>
    <t>Braydon</t>
  </si>
  <si>
    <t>DN</t>
  </si>
  <si>
    <t>Erin</t>
  </si>
  <si>
    <t>Imposters</t>
  </si>
  <si>
    <t>Player</t>
  </si>
  <si>
    <t>9 Player Games</t>
  </si>
  <si>
    <t>10 Player Games</t>
  </si>
  <si>
    <t>%WAR (Imp)</t>
  </si>
  <si>
    <t>%WAR (Crew)</t>
  </si>
  <si>
    <t>%WAR</t>
  </si>
  <si>
    <t>Lee</t>
  </si>
  <si>
    <t>Win % (Crew)</t>
  </si>
  <si>
    <t>Win % (Imp)</t>
  </si>
  <si>
    <t>9 Player</t>
  </si>
  <si>
    <t>10 Player</t>
  </si>
  <si>
    <t xml:space="preserve">%W </t>
  </si>
  <si>
    <t>22/12/2020</t>
  </si>
  <si>
    <t>28/12/2020</t>
  </si>
  <si>
    <t>%W (Crew)</t>
  </si>
  <si>
    <t>%W (Imp)</t>
  </si>
  <si>
    <t>02/01/2020</t>
  </si>
  <si>
    <t>Hayley</t>
  </si>
  <si>
    <t>03/01/2020</t>
  </si>
  <si>
    <t>08/01/2020</t>
  </si>
  <si>
    <t>16/01/2020</t>
  </si>
  <si>
    <t>22/01/2020</t>
  </si>
  <si>
    <t>29/01/2020</t>
  </si>
  <si>
    <t>6/02/2020</t>
  </si>
  <si>
    <t>Win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</si>
</sst>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FFFF"/>
      <name val="Calibri"/>
      <family val="2"/>
      <scheme val="minor"/>
    </font>
    <font>
      <sz val="11"/>
      <color rgb="FF00FFFF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6565"/>
      <name val="Calibri"/>
      <family val="2"/>
      <scheme val="minor"/>
    </font>
    <font>
      <b/>
      <sz val="11"/>
      <color rgb="FFCCFFFF"/>
      <name val="Calibri"/>
      <family val="2"/>
      <scheme val="minor"/>
    </font>
    <font>
      <sz val="11"/>
      <color rgb="FFFF6565"/>
      <name val="Calibri"/>
      <family val="2"/>
      <scheme val="minor"/>
    </font>
    <font>
      <sz val="11"/>
      <color rgb="FFCCFFFF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CCFFFF"/>
      <name val="Calibri"/>
      <family val="2"/>
      <scheme val="minor"/>
    </font>
    <font>
      <b/>
      <sz val="14"/>
      <color rgb="FF00FFFF"/>
      <name val="Calibri"/>
      <family val="2"/>
      <scheme val="minor"/>
    </font>
    <font>
      <b/>
      <sz val="14"/>
      <color rgb="FFFF656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rgb="FFF8696B"/>
      <name val="Calibri"/>
      <family val="2"/>
      <scheme val="minor"/>
    </font>
    <font>
      <b/>
      <sz val="14"/>
      <color rgb="FFF8696B"/>
      <name val="Calibri"/>
      <family val="2"/>
      <scheme val="minor"/>
    </font>
    <font>
      <sz val="11"/>
      <color rgb="FFF8696B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rgb="FFFFC000"/>
      <name val="Calibri"/>
      <family val="2"/>
      <scheme val="minor"/>
    </font>
    <font>
      <b/>
      <sz val="9"/>
      <color theme="2" tint="-0.249977111117893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9"/>
      <color rgb="FFFFC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20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5">
    <xf numFmtId="0" fontId="0" fillId="0" borderId="0" xfId="0"/>
    <xf numFmtId="0" fontId="3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4" fontId="6" fillId="2" borderId="0" xfId="0" applyNumberFormat="1" applyFont="1" applyFill="1" applyAlignment="1">
      <alignment horizontal="center"/>
    </xf>
    <xf numFmtId="1" fontId="6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5" fillId="2" borderId="0" xfId="0" applyFont="1" applyFill="1" applyBorder="1"/>
    <xf numFmtId="0" fontId="18" fillId="2" borderId="0" xfId="0" applyFont="1" applyFill="1" applyBorder="1"/>
    <xf numFmtId="0" fontId="2" fillId="2" borderId="0" xfId="0" applyFont="1" applyFill="1" applyBorder="1" applyAlignment="1">
      <alignment horizontal="right"/>
    </xf>
    <xf numFmtId="0" fontId="8" fillId="2" borderId="0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/>
    <xf numFmtId="9" fontId="2" fillId="2" borderId="0" xfId="1" applyFont="1" applyFill="1" applyBorder="1" applyAlignment="1">
      <alignment horizontal="center"/>
    </xf>
    <xf numFmtId="0" fontId="6" fillId="2" borderId="0" xfId="0" applyFont="1" applyFill="1"/>
    <xf numFmtId="0" fontId="2" fillId="2" borderId="0" xfId="0" applyFont="1" applyFill="1" applyBorder="1" applyAlignment="1"/>
    <xf numFmtId="0" fontId="17" fillId="2" borderId="0" xfId="0" applyFont="1" applyFill="1" applyBorder="1" applyAlignment="1">
      <alignment horizontal="right"/>
    </xf>
    <xf numFmtId="0" fontId="2" fillId="2" borderId="0" xfId="0" applyFont="1" applyFill="1"/>
    <xf numFmtId="0" fontId="3" fillId="2" borderId="0" xfId="0" applyFont="1" applyFill="1"/>
    <xf numFmtId="0" fontId="0" fillId="2" borderId="0" xfId="0" applyFill="1" applyBorder="1"/>
    <xf numFmtId="0" fontId="3" fillId="2" borderId="0" xfId="0" applyFont="1" applyFill="1" applyBorder="1" applyAlignment="1">
      <alignment horizontal="center"/>
    </xf>
    <xf numFmtId="0" fontId="19" fillId="2" borderId="0" xfId="0" applyFont="1" applyFill="1" applyBorder="1"/>
    <xf numFmtId="0" fontId="16" fillId="2" borderId="4" xfId="0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9" fontId="15" fillId="2" borderId="5" xfId="1" applyFont="1" applyFill="1" applyBorder="1" applyAlignment="1">
      <alignment horizontal="center"/>
    </xf>
    <xf numFmtId="9" fontId="15" fillId="2" borderId="6" xfId="1" applyFont="1" applyFill="1" applyBorder="1" applyAlignment="1">
      <alignment horizontal="center"/>
    </xf>
    <xf numFmtId="9" fontId="6" fillId="2" borderId="0" xfId="1" applyFont="1" applyFill="1" applyBorder="1" applyAlignment="1">
      <alignment horizontal="center"/>
    </xf>
    <xf numFmtId="9" fontId="19" fillId="2" borderId="0" xfId="1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164" fontId="18" fillId="2" borderId="0" xfId="0" applyNumberFormat="1" applyFont="1" applyFill="1" applyBorder="1" applyAlignment="1">
      <alignment horizontal="center"/>
    </xf>
    <xf numFmtId="9" fontId="18" fillId="2" borderId="0" xfId="1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ont="1" applyFill="1" applyBorder="1" applyAlignment="1">
      <alignment horizontal="center"/>
    </xf>
    <xf numFmtId="0" fontId="19" fillId="2" borderId="0" xfId="1" applyNumberFormat="1" applyFont="1" applyFill="1" applyBorder="1" applyAlignment="1">
      <alignment horizontal="center"/>
    </xf>
    <xf numFmtId="9" fontId="1" fillId="2" borderId="5" xfId="1" applyFont="1" applyFill="1" applyBorder="1" applyAlignment="1">
      <alignment horizontal="center"/>
    </xf>
    <xf numFmtId="9" fontId="1" fillId="2" borderId="6" xfId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9" fontId="15" fillId="2" borderId="4" xfId="1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9" fontId="6" fillId="2" borderId="8" xfId="1" applyFont="1" applyFill="1" applyBorder="1" applyAlignment="1">
      <alignment horizontal="center"/>
    </xf>
    <xf numFmtId="9" fontId="6" fillId="2" borderId="7" xfId="1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13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164" fontId="15" fillId="2" borderId="4" xfId="0" applyNumberFormat="1" applyFont="1" applyFill="1" applyBorder="1" applyAlignment="1">
      <alignment horizontal="center"/>
    </xf>
    <xf numFmtId="164" fontId="15" fillId="2" borderId="5" xfId="0" applyNumberFormat="1" applyFont="1" applyFill="1" applyBorder="1" applyAlignment="1">
      <alignment horizontal="center"/>
    </xf>
    <xf numFmtId="164" fontId="15" fillId="2" borderId="6" xfId="0" applyNumberFormat="1" applyFont="1" applyFill="1" applyBorder="1" applyAlignment="1">
      <alignment horizontal="center"/>
    </xf>
    <xf numFmtId="0" fontId="17" fillId="2" borderId="3" xfId="0" applyFont="1" applyFill="1" applyBorder="1" applyAlignment="1">
      <alignment horizontal="right"/>
    </xf>
    <xf numFmtId="0" fontId="17" fillId="2" borderId="1" xfId="0" applyFont="1" applyFill="1" applyBorder="1" applyAlignment="1">
      <alignment horizontal="right"/>
    </xf>
    <xf numFmtId="0" fontId="13" fillId="2" borderId="3" xfId="0" applyFont="1" applyFill="1" applyBorder="1" applyAlignment="1">
      <alignment horizontal="right"/>
    </xf>
    <xf numFmtId="0" fontId="19" fillId="2" borderId="8" xfId="1" applyNumberFormat="1" applyFont="1" applyFill="1" applyBorder="1" applyAlignment="1">
      <alignment horizontal="center"/>
    </xf>
    <xf numFmtId="0" fontId="19" fillId="2" borderId="7" xfId="1" applyNumberFormat="1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9" fontId="1" fillId="2" borderId="4" xfId="1" applyFont="1" applyFill="1" applyBorder="1" applyAlignment="1">
      <alignment horizontal="center"/>
    </xf>
    <xf numFmtId="9" fontId="19" fillId="2" borderId="8" xfId="1" applyFont="1" applyFill="1" applyBorder="1" applyAlignment="1">
      <alignment horizontal="center"/>
    </xf>
    <xf numFmtId="9" fontId="19" fillId="2" borderId="7" xfId="1" applyFont="1" applyFill="1" applyBorder="1" applyAlignment="1">
      <alignment horizontal="center"/>
    </xf>
    <xf numFmtId="0" fontId="2" fillId="2" borderId="8" xfId="0" applyFont="1" applyFill="1" applyBorder="1" applyAlignment="1">
      <alignment horizontal="right"/>
    </xf>
    <xf numFmtId="0" fontId="16" fillId="2" borderId="8" xfId="0" applyFont="1" applyFill="1" applyBorder="1" applyAlignment="1">
      <alignment horizontal="right"/>
    </xf>
    <xf numFmtId="0" fontId="18" fillId="2" borderId="7" xfId="0" applyFont="1" applyFill="1" applyBorder="1" applyAlignment="1">
      <alignment horizontal="center"/>
    </xf>
    <xf numFmtId="9" fontId="18" fillId="2" borderId="7" xfId="1" applyFont="1" applyFill="1" applyBorder="1" applyAlignment="1">
      <alignment horizontal="center"/>
    </xf>
    <xf numFmtId="0" fontId="15" fillId="2" borderId="8" xfId="0" applyFont="1" applyFill="1" applyBorder="1"/>
    <xf numFmtId="2" fontId="18" fillId="2" borderId="7" xfId="0" applyNumberFormat="1" applyFont="1" applyFill="1" applyBorder="1" applyAlignment="1">
      <alignment horizontal="center"/>
    </xf>
    <xf numFmtId="164" fontId="15" fillId="2" borderId="4" xfId="1" applyNumberFormat="1" applyFont="1" applyFill="1" applyBorder="1" applyAlignment="1">
      <alignment horizontal="center"/>
    </xf>
    <xf numFmtId="164" fontId="15" fillId="2" borderId="5" xfId="1" applyNumberFormat="1" applyFont="1" applyFill="1" applyBorder="1" applyAlignment="1">
      <alignment horizontal="center"/>
    </xf>
    <xf numFmtId="164" fontId="15" fillId="2" borderId="6" xfId="1" applyNumberFormat="1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20" fillId="2" borderId="4" xfId="0" applyFont="1" applyFill="1" applyBorder="1" applyAlignment="1">
      <alignment horizontal="center"/>
    </xf>
    <xf numFmtId="0" fontId="20" fillId="2" borderId="8" xfId="0" applyFont="1" applyFill="1" applyBorder="1" applyAlignment="1">
      <alignment horizontal="center"/>
    </xf>
    <xf numFmtId="9" fontId="21" fillId="2" borderId="4" xfId="1" applyFont="1" applyFill="1" applyBorder="1" applyAlignment="1">
      <alignment horizontal="center"/>
    </xf>
    <xf numFmtId="0" fontId="22" fillId="2" borderId="8" xfId="0" applyFont="1" applyFill="1" applyBorder="1" applyAlignment="1">
      <alignment horizontal="center"/>
    </xf>
    <xf numFmtId="9" fontId="20" fillId="2" borderId="8" xfId="1" applyFont="1" applyFill="1" applyBorder="1" applyAlignment="1">
      <alignment horizontal="center"/>
    </xf>
    <xf numFmtId="0" fontId="21" fillId="2" borderId="8" xfId="0" applyFont="1" applyFill="1" applyBorder="1" applyAlignment="1">
      <alignment horizontal="center"/>
    </xf>
    <xf numFmtId="164" fontId="21" fillId="2" borderId="4" xfId="0" applyNumberFormat="1" applyFont="1" applyFill="1" applyBorder="1" applyAlignment="1">
      <alignment horizontal="center"/>
    </xf>
    <xf numFmtId="0" fontId="22" fillId="2" borderId="0" xfId="0" applyFont="1" applyFill="1" applyBorder="1" applyAlignment="1">
      <alignment horizontal="center"/>
    </xf>
    <xf numFmtId="9" fontId="22" fillId="2" borderId="6" xfId="1" applyFont="1" applyFill="1" applyBorder="1" applyAlignment="1">
      <alignment horizontal="center"/>
    </xf>
    <xf numFmtId="0" fontId="20" fillId="2" borderId="7" xfId="0" applyFont="1" applyFill="1" applyBorder="1" applyAlignment="1">
      <alignment horizontal="center"/>
    </xf>
    <xf numFmtId="0" fontId="23" fillId="2" borderId="7" xfId="1" applyNumberFormat="1" applyFont="1" applyFill="1" applyBorder="1" applyAlignment="1">
      <alignment horizontal="center"/>
    </xf>
    <xf numFmtId="9" fontId="23" fillId="2" borderId="7" xfId="1" applyFont="1" applyFill="1" applyBorder="1" applyAlignment="1">
      <alignment horizontal="center"/>
    </xf>
    <xf numFmtId="0" fontId="21" fillId="2" borderId="7" xfId="0" applyFont="1" applyFill="1" applyBorder="1" applyAlignment="1">
      <alignment horizontal="center"/>
    </xf>
    <xf numFmtId="164" fontId="21" fillId="2" borderId="6" xfId="1" applyNumberFormat="1" applyFont="1" applyFill="1" applyBorder="1" applyAlignment="1">
      <alignment horizontal="center"/>
    </xf>
    <xf numFmtId="0" fontId="24" fillId="2" borderId="0" xfId="0" applyFont="1" applyFill="1" applyBorder="1" applyAlignment="1">
      <alignment horizontal="center"/>
    </xf>
    <xf numFmtId="9" fontId="21" fillId="2" borderId="1" xfId="1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25" fillId="2" borderId="3" xfId="0" applyFont="1" applyFill="1" applyBorder="1" applyAlignment="1">
      <alignment horizontal="center"/>
    </xf>
    <xf numFmtId="164" fontId="25" fillId="2" borderId="3" xfId="0" applyNumberFormat="1" applyFont="1" applyFill="1" applyBorder="1" applyAlignment="1">
      <alignment horizontal="center"/>
    </xf>
    <xf numFmtId="9" fontId="25" fillId="2" borderId="3" xfId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/>
    </xf>
    <xf numFmtId="164" fontId="21" fillId="2" borderId="1" xfId="0" applyNumberFormat="1" applyFont="1" applyFill="1" applyBorder="1" applyAlignment="1">
      <alignment horizontal="center"/>
    </xf>
    <xf numFmtId="0" fontId="22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9" fontId="21" fillId="2" borderId="6" xfId="1" applyFont="1" applyFill="1" applyBorder="1" applyAlignment="1">
      <alignment horizontal="center"/>
    </xf>
    <xf numFmtId="0" fontId="23" fillId="2" borderId="7" xfId="0" applyFont="1" applyFill="1" applyBorder="1" applyAlignment="1">
      <alignment horizontal="center"/>
    </xf>
    <xf numFmtId="0" fontId="26" fillId="2" borderId="0" xfId="0" applyFont="1" applyFill="1"/>
    <xf numFmtId="9" fontId="15" fillId="2" borderId="0" xfId="1" applyFont="1" applyFill="1" applyBorder="1"/>
    <xf numFmtId="9" fontId="15" fillId="2" borderId="7" xfId="1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28" fillId="2" borderId="8" xfId="0" applyFont="1" applyFill="1" applyBorder="1"/>
    <xf numFmtId="0" fontId="28" fillId="2" borderId="0" xfId="0" applyFont="1" applyFill="1" applyBorder="1"/>
    <xf numFmtId="0" fontId="30" fillId="2" borderId="8" xfId="0" applyFont="1" applyFill="1" applyBorder="1"/>
    <xf numFmtId="0" fontId="30" fillId="2" borderId="0" xfId="0" applyFont="1" applyFill="1" applyBorder="1"/>
    <xf numFmtId="0" fontId="32" fillId="2" borderId="0" xfId="0" applyFont="1" applyFill="1" applyBorder="1"/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9" fontId="0" fillId="3" borderId="0" xfId="1" applyFont="1" applyFill="1" applyAlignment="1">
      <alignment horizontal="center" vertical="center"/>
    </xf>
    <xf numFmtId="1" fontId="0" fillId="3" borderId="0" xfId="1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9" fontId="32" fillId="2" borderId="0" xfId="1" applyFont="1" applyFill="1" applyBorder="1"/>
    <xf numFmtId="9" fontId="30" fillId="2" borderId="0" xfId="1" applyFont="1" applyFill="1" applyBorder="1"/>
    <xf numFmtId="9" fontId="28" fillId="2" borderId="0" xfId="1" applyFont="1" applyFill="1" applyBorder="1"/>
    <xf numFmtId="9" fontId="23" fillId="2" borderId="6" xfId="1" applyFont="1" applyFill="1" applyBorder="1" applyAlignment="1">
      <alignment horizontal="center"/>
    </xf>
    <xf numFmtId="9" fontId="19" fillId="2" borderId="4" xfId="1" applyFont="1" applyFill="1" applyBorder="1" applyAlignment="1">
      <alignment horizontal="center"/>
    </xf>
    <xf numFmtId="9" fontId="19" fillId="2" borderId="5" xfId="1" applyFont="1" applyFill="1" applyBorder="1" applyAlignment="1">
      <alignment horizontal="center"/>
    </xf>
    <xf numFmtId="9" fontId="19" fillId="2" borderId="6" xfId="1" applyFont="1" applyFill="1" applyBorder="1" applyAlignment="1">
      <alignment horizontal="center"/>
    </xf>
    <xf numFmtId="0" fontId="19" fillId="2" borderId="0" xfId="0" applyFont="1" applyFill="1"/>
    <xf numFmtId="0" fontId="33" fillId="2" borderId="4" xfId="0" applyFont="1" applyFill="1" applyBorder="1" applyAlignment="1">
      <alignment horizontal="right"/>
    </xf>
    <xf numFmtId="9" fontId="34" fillId="2" borderId="1" xfId="1" applyFont="1" applyFill="1" applyBorder="1" applyAlignment="1">
      <alignment horizontal="center"/>
    </xf>
    <xf numFmtId="9" fontId="35" fillId="2" borderId="5" xfId="1" applyFont="1" applyFill="1" applyBorder="1" applyAlignment="1">
      <alignment horizontal="center"/>
    </xf>
    <xf numFmtId="9" fontId="35" fillId="2" borderId="6" xfId="1" applyFont="1" applyFill="1" applyBorder="1" applyAlignment="1">
      <alignment horizontal="center"/>
    </xf>
    <xf numFmtId="0" fontId="35" fillId="2" borderId="0" xfId="0" applyFont="1" applyFill="1" applyBorder="1"/>
    <xf numFmtId="0" fontId="35" fillId="2" borderId="0" xfId="0" applyFont="1" applyFill="1"/>
    <xf numFmtId="164" fontId="35" fillId="2" borderId="0" xfId="0" applyNumberFormat="1" applyFont="1" applyFill="1"/>
    <xf numFmtId="0" fontId="2" fillId="2" borderId="13" xfId="0" applyFont="1" applyFill="1" applyBorder="1" applyAlignment="1">
      <alignment horizontal="center"/>
    </xf>
    <xf numFmtId="9" fontId="2" fillId="2" borderId="13" xfId="1" applyFont="1" applyFill="1" applyBorder="1" applyAlignment="1">
      <alignment horizontal="center"/>
    </xf>
    <xf numFmtId="9" fontId="2" fillId="2" borderId="14" xfId="1" applyFont="1" applyFill="1" applyBorder="1" applyAlignment="1">
      <alignment horizontal="center"/>
    </xf>
    <xf numFmtId="0" fontId="31" fillId="2" borderId="13" xfId="0" applyFont="1" applyFill="1" applyBorder="1" applyAlignment="1">
      <alignment horizontal="center"/>
    </xf>
    <xf numFmtId="9" fontId="31" fillId="2" borderId="13" xfId="1" applyFont="1" applyFill="1" applyBorder="1" applyAlignment="1">
      <alignment horizontal="center"/>
    </xf>
    <xf numFmtId="0" fontId="29" fillId="2" borderId="12" xfId="0" applyFont="1" applyFill="1" applyBorder="1" applyAlignment="1">
      <alignment horizontal="center"/>
    </xf>
    <xf numFmtId="0" fontId="29" fillId="2" borderId="13" xfId="0" applyFont="1" applyFill="1" applyBorder="1" applyAlignment="1">
      <alignment horizontal="center"/>
    </xf>
    <xf numFmtId="9" fontId="29" fillId="2" borderId="13" xfId="1" applyFont="1" applyFill="1" applyBorder="1" applyAlignment="1">
      <alignment horizontal="center"/>
    </xf>
    <xf numFmtId="0" fontId="27" fillId="2" borderId="12" xfId="0" applyFont="1" applyFill="1" applyBorder="1" applyAlignment="1">
      <alignment horizontal="center"/>
    </xf>
    <xf numFmtId="0" fontId="27" fillId="2" borderId="13" xfId="0" applyFont="1" applyFill="1" applyBorder="1" applyAlignment="1">
      <alignment horizontal="center"/>
    </xf>
    <xf numFmtId="9" fontId="27" fillId="2" borderId="13" xfId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1" fontId="0" fillId="2" borderId="0" xfId="1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6" borderId="0" xfId="1" applyNumberFormat="1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1" fontId="15" fillId="5" borderId="0" xfId="1" applyNumberFormat="1" applyFont="1" applyFill="1" applyAlignment="1">
      <alignment horizontal="center" vertical="center"/>
    </xf>
    <xf numFmtId="1" fontId="5" fillId="2" borderId="0" xfId="1" applyNumberFormat="1" applyFont="1" applyFill="1" applyAlignment="1">
      <alignment horizontal="center" vertical="center"/>
    </xf>
    <xf numFmtId="9" fontId="0" fillId="2" borderId="0" xfId="1" applyFont="1" applyFill="1" applyAlignment="1">
      <alignment horizontal="center" vertical="center"/>
    </xf>
    <xf numFmtId="9" fontId="0" fillId="6" borderId="0" xfId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2" fillId="2" borderId="0" xfId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9" fontId="13" fillId="2" borderId="0" xfId="1" applyFont="1" applyFill="1" applyAlignment="1">
      <alignment horizontal="center" vertical="center"/>
    </xf>
    <xf numFmtId="164" fontId="18" fillId="2" borderId="7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5" fillId="7" borderId="0" xfId="0" applyFont="1" applyFill="1"/>
    <xf numFmtId="9" fontId="15" fillId="7" borderId="0" xfId="1" applyFont="1" applyFill="1"/>
    <xf numFmtId="0" fontId="15" fillId="8" borderId="0" xfId="0" applyFont="1" applyFill="1"/>
    <xf numFmtId="9" fontId="15" fillId="8" borderId="0" xfId="1" applyFont="1" applyFill="1"/>
    <xf numFmtId="0" fontId="15" fillId="4" borderId="0" xfId="0" applyFont="1" applyFill="1"/>
    <xf numFmtId="9" fontId="15" fillId="4" borderId="0" xfId="1" applyFont="1" applyFill="1"/>
    <xf numFmtId="9" fontId="15" fillId="8" borderId="0" xfId="1" applyNumberFormat="1" applyFont="1" applyFill="1"/>
    <xf numFmtId="9" fontId="15" fillId="4" borderId="0" xfId="1" applyNumberFormat="1" applyFont="1" applyFill="1"/>
    <xf numFmtId="9" fontId="0" fillId="2" borderId="0" xfId="1" applyFont="1" applyFill="1" applyBorder="1"/>
    <xf numFmtId="9" fontId="0" fillId="2" borderId="15" xfId="1" applyFont="1" applyFill="1" applyBorder="1"/>
    <xf numFmtId="165" fontId="0" fillId="2" borderId="8" xfId="1" applyNumberFormat="1" applyFont="1" applyFill="1" applyBorder="1"/>
    <xf numFmtId="165" fontId="0" fillId="2" borderId="0" xfId="1" applyNumberFormat="1" applyFont="1" applyFill="1" applyBorder="1"/>
    <xf numFmtId="9" fontId="0" fillId="2" borderId="0" xfId="1" applyNumberFormat="1" applyFont="1" applyFill="1" applyBorder="1"/>
    <xf numFmtId="0" fontId="28" fillId="2" borderId="5" xfId="0" applyFont="1" applyFill="1" applyBorder="1" applyAlignment="1">
      <alignment horizontal="center"/>
    </xf>
    <xf numFmtId="0" fontId="28" fillId="2" borderId="4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2" fillId="2" borderId="4" xfId="0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6" xfId="0" applyFont="1" applyFill="1" applyBorder="1" applyAlignment="1">
      <alignment horizontal="center"/>
    </xf>
    <xf numFmtId="1" fontId="32" fillId="2" borderId="0" xfId="0" applyNumberFormat="1" applyFont="1" applyFill="1" applyBorder="1"/>
    <xf numFmtId="1" fontId="30" fillId="2" borderId="0" xfId="0" applyNumberFormat="1" applyFont="1" applyFill="1" applyBorder="1"/>
    <xf numFmtId="1" fontId="6" fillId="2" borderId="0" xfId="0" applyNumberFormat="1" applyFont="1" applyFill="1" applyBorder="1"/>
    <xf numFmtId="0" fontId="6" fillId="3" borderId="8" xfId="0" applyFont="1" applyFill="1" applyBorder="1" applyAlignment="1">
      <alignment horizontal="right"/>
    </xf>
    <xf numFmtId="0" fontId="6" fillId="3" borderId="8" xfId="0" applyFont="1" applyFill="1" applyBorder="1"/>
    <xf numFmtId="0" fontId="6" fillId="3" borderId="0" xfId="0" applyFont="1" applyFill="1" applyBorder="1"/>
    <xf numFmtId="9" fontId="15" fillId="3" borderId="0" xfId="1" applyFont="1" applyFill="1" applyBorder="1"/>
    <xf numFmtId="9" fontId="6" fillId="3" borderId="0" xfId="1" applyFont="1" applyFill="1" applyBorder="1"/>
    <xf numFmtId="9" fontId="15" fillId="3" borderId="7" xfId="1" applyFont="1" applyFill="1" applyBorder="1"/>
    <xf numFmtId="0" fontId="32" fillId="3" borderId="0" xfId="0" applyFont="1" applyFill="1" applyBorder="1"/>
    <xf numFmtId="0" fontId="2" fillId="3" borderId="12" xfId="0" applyFont="1" applyFill="1" applyBorder="1" applyAlignment="1">
      <alignment horizontal="center"/>
    </xf>
    <xf numFmtId="9" fontId="32" fillId="3" borderId="0" xfId="1" applyFont="1" applyFill="1" applyBorder="1"/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3" fillId="9" borderId="0" xfId="0" applyFont="1" applyFill="1"/>
    <xf numFmtId="0" fontId="0" fillId="9" borderId="0" xfId="0" applyFill="1"/>
    <xf numFmtId="1" fontId="0" fillId="9" borderId="0" xfId="0" applyNumberFormat="1" applyFill="1"/>
    <xf numFmtId="0" fontId="6" fillId="3" borderId="9" xfId="0" applyFont="1" applyFill="1" applyBorder="1" applyAlignment="1">
      <alignment horizontal="center"/>
    </xf>
    <xf numFmtId="165" fontId="0" fillId="3" borderId="0" xfId="1" applyNumberFormat="1" applyFont="1" applyFill="1" applyBorder="1"/>
    <xf numFmtId="9" fontId="0" fillId="3" borderId="0" xfId="1" applyNumberFormat="1" applyFont="1" applyFill="1" applyBorder="1"/>
    <xf numFmtId="1" fontId="6" fillId="3" borderId="0" xfId="0" applyNumberFormat="1" applyFont="1" applyFill="1" applyBorder="1"/>
    <xf numFmtId="9" fontId="0" fillId="3" borderId="0" xfId="1" applyFont="1" applyFill="1" applyBorder="1"/>
    <xf numFmtId="1" fontId="32" fillId="3" borderId="0" xfId="0" applyNumberFormat="1" applyFont="1" applyFill="1" applyBorder="1"/>
    <xf numFmtId="0" fontId="28" fillId="2" borderId="21" xfId="0" applyFont="1" applyFill="1" applyBorder="1" applyAlignment="1">
      <alignment horizontal="center"/>
    </xf>
    <xf numFmtId="165" fontId="0" fillId="2" borderId="22" xfId="1" applyNumberFormat="1" applyFont="1" applyFill="1" applyBorder="1"/>
    <xf numFmtId="0" fontId="28" fillId="2" borderId="23" xfId="0" applyFont="1" applyFill="1" applyBorder="1"/>
    <xf numFmtId="1" fontId="15" fillId="3" borderId="0" xfId="1" applyNumberFormat="1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1" fontId="6" fillId="2" borderId="26" xfId="0" applyNumberFormat="1" applyFont="1" applyFill="1" applyBorder="1"/>
    <xf numFmtId="165" fontId="0" fillId="2" borderId="26" xfId="1" applyNumberFormat="1" applyFont="1" applyFill="1" applyBorder="1"/>
    <xf numFmtId="165" fontId="0" fillId="2" borderId="25" xfId="1" applyNumberFormat="1" applyFont="1" applyFill="1" applyBorder="1"/>
    <xf numFmtId="9" fontId="0" fillId="2" borderId="26" xfId="1" applyNumberFormat="1" applyFont="1" applyFill="1" applyBorder="1"/>
    <xf numFmtId="1" fontId="32" fillId="2" borderId="7" xfId="0" applyNumberFormat="1" applyFont="1" applyFill="1" applyBorder="1"/>
    <xf numFmtId="0" fontId="32" fillId="2" borderId="15" xfId="0" applyFont="1" applyFill="1" applyBorder="1"/>
    <xf numFmtId="0" fontId="6" fillId="3" borderId="27" xfId="0" applyFont="1" applyFill="1" applyBorder="1"/>
    <xf numFmtId="0" fontId="6" fillId="3" borderId="15" xfId="0" applyFont="1" applyFill="1" applyBorder="1"/>
    <xf numFmtId="9" fontId="15" fillId="3" borderId="15" xfId="1" applyFont="1" applyFill="1" applyBorder="1"/>
    <xf numFmtId="9" fontId="6" fillId="3" borderId="15" xfId="1" applyFont="1" applyFill="1" applyBorder="1"/>
    <xf numFmtId="9" fontId="15" fillId="3" borderId="16" xfId="1" applyFont="1" applyFill="1" applyBorder="1"/>
    <xf numFmtId="0" fontId="31" fillId="2" borderId="12" xfId="0" applyFont="1" applyFill="1" applyBorder="1" applyAlignment="1">
      <alignment horizontal="center"/>
    </xf>
    <xf numFmtId="9" fontId="31" fillId="2" borderId="14" xfId="1" applyFont="1" applyFill="1" applyBorder="1" applyAlignment="1">
      <alignment horizontal="center"/>
    </xf>
    <xf numFmtId="0" fontId="32" fillId="3" borderId="8" xfId="0" applyFont="1" applyFill="1" applyBorder="1"/>
    <xf numFmtId="0" fontId="32" fillId="3" borderId="27" xfId="0" applyFont="1" applyFill="1" applyBorder="1"/>
    <xf numFmtId="0" fontId="32" fillId="3" borderId="15" xfId="0" applyFont="1" applyFill="1" applyBorder="1"/>
    <xf numFmtId="9" fontId="32" fillId="2" borderId="15" xfId="1" applyFont="1" applyFill="1" applyBorder="1"/>
    <xf numFmtId="9" fontId="15" fillId="2" borderId="15" xfId="1" applyFont="1" applyFill="1" applyBorder="1"/>
    <xf numFmtId="9" fontId="15" fillId="2" borderId="16" xfId="1" applyFont="1" applyFill="1" applyBorder="1"/>
    <xf numFmtId="0" fontId="6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4" fontId="0" fillId="9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1" fillId="5" borderId="0" xfId="1" applyNumberFormat="1" applyFont="1" applyFill="1" applyAlignment="1">
      <alignment horizontal="center" vertical="center"/>
    </xf>
    <xf numFmtId="0" fontId="5" fillId="3" borderId="0" xfId="1" applyNumberFormat="1" applyFont="1" applyFill="1" applyAlignment="1">
      <alignment horizontal="center" vertical="center"/>
    </xf>
    <xf numFmtId="0" fontId="15" fillId="5" borderId="0" xfId="1" applyNumberFormat="1" applyFont="1" applyFill="1" applyAlignment="1">
      <alignment horizontal="center" vertical="center"/>
    </xf>
    <xf numFmtId="0" fontId="1" fillId="5" borderId="0" xfId="1" applyNumberFormat="1" applyFont="1" applyFill="1" applyAlignment="1">
      <alignment horizontal="center" vertical="center"/>
    </xf>
    <xf numFmtId="0" fontId="5" fillId="2" borderId="0" xfId="1" applyNumberFormat="1" applyFont="1" applyFill="1" applyAlignment="1">
      <alignment horizontal="center" vertical="center"/>
    </xf>
    <xf numFmtId="0" fontId="6" fillId="10" borderId="0" xfId="0" applyFont="1" applyFill="1"/>
    <xf numFmtId="9" fontId="6" fillId="10" borderId="0" xfId="1" applyFont="1" applyFill="1"/>
    <xf numFmtId="0" fontId="32" fillId="10" borderId="0" xfId="0" applyFont="1" applyFill="1"/>
    <xf numFmtId="0" fontId="30" fillId="10" borderId="0" xfId="0" applyFont="1" applyFill="1"/>
    <xf numFmtId="0" fontId="28" fillId="10" borderId="0" xfId="0" applyFont="1" applyFill="1"/>
    <xf numFmtId="0" fontId="15" fillId="10" borderId="0" xfId="0" applyFont="1" applyFill="1"/>
    <xf numFmtId="0" fontId="6" fillId="10" borderId="0" xfId="0" applyFont="1" applyFill="1" applyBorder="1"/>
    <xf numFmtId="0" fontId="0" fillId="10" borderId="0" xfId="0" applyFill="1" applyAlignment="1">
      <alignment horizontal="right"/>
    </xf>
    <xf numFmtId="9" fontId="0" fillId="10" borderId="0" xfId="1" applyFont="1" applyFill="1"/>
    <xf numFmtId="0" fontId="0" fillId="10" borderId="0" xfId="0" applyFill="1"/>
    <xf numFmtId="9" fontId="0" fillId="10" borderId="0" xfId="1" applyFont="1" applyFill="1" applyAlignment="1">
      <alignment horizontal="right"/>
    </xf>
    <xf numFmtId="0" fontId="2" fillId="10" borderId="0" xfId="0" applyFont="1" applyFill="1"/>
    <xf numFmtId="0" fontId="2" fillId="3" borderId="9" xfId="0" applyFont="1" applyFill="1" applyBorder="1" applyAlignment="1">
      <alignment horizontal="right"/>
    </xf>
    <xf numFmtId="9" fontId="27" fillId="2" borderId="14" xfId="1" applyFont="1" applyFill="1" applyBorder="1" applyAlignment="1">
      <alignment horizontal="center"/>
    </xf>
    <xf numFmtId="0" fontId="6" fillId="3" borderId="27" xfId="0" applyFont="1" applyFill="1" applyBorder="1" applyAlignment="1">
      <alignment horizontal="right"/>
    </xf>
    <xf numFmtId="0" fontId="30" fillId="2" borderId="27" xfId="0" applyFont="1" applyFill="1" applyBorder="1"/>
    <xf numFmtId="0" fontId="30" fillId="2" borderId="15" xfId="0" applyFont="1" applyFill="1" applyBorder="1"/>
    <xf numFmtId="9" fontId="30" fillId="2" borderId="15" xfId="1" applyFont="1" applyFill="1" applyBorder="1"/>
    <xf numFmtId="0" fontId="28" fillId="2" borderId="27" xfId="0" applyFont="1" applyFill="1" applyBorder="1"/>
    <xf numFmtId="0" fontId="28" fillId="2" borderId="15" xfId="0" applyFont="1" applyFill="1" applyBorder="1"/>
    <xf numFmtId="9" fontId="28" fillId="2" borderId="15" xfId="1" applyFont="1" applyFill="1" applyBorder="1"/>
    <xf numFmtId="0" fontId="5" fillId="10" borderId="0" xfId="0" applyFont="1" applyFill="1"/>
    <xf numFmtId="0" fontId="6" fillId="3" borderId="8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9" fontId="15" fillId="3" borderId="7" xfId="1" applyFont="1" applyFill="1" applyBorder="1" applyAlignment="1">
      <alignment horizontal="center"/>
    </xf>
    <xf numFmtId="0" fontId="6" fillId="10" borderId="0" xfId="0" applyFont="1" applyFill="1" applyBorder="1" applyAlignment="1">
      <alignment horizontal="center"/>
    </xf>
    <xf numFmtId="9" fontId="15" fillId="10" borderId="0" xfId="1" applyFont="1" applyFill="1" applyBorder="1" applyAlignment="1">
      <alignment horizontal="center"/>
    </xf>
    <xf numFmtId="0" fontId="36" fillId="10" borderId="0" xfId="0" applyFont="1" applyFill="1" applyAlignment="1">
      <alignment horizontal="center"/>
    </xf>
    <xf numFmtId="9" fontId="42" fillId="10" borderId="0" xfId="1" applyFont="1" applyFill="1" applyAlignment="1">
      <alignment horizontal="center"/>
    </xf>
    <xf numFmtId="0" fontId="37" fillId="10" borderId="0" xfId="0" applyFont="1" applyFill="1" applyAlignment="1">
      <alignment horizontal="center"/>
    </xf>
    <xf numFmtId="0" fontId="38" fillId="10" borderId="0" xfId="0" applyFont="1" applyFill="1" applyAlignment="1">
      <alignment horizontal="center"/>
    </xf>
    <xf numFmtId="0" fontId="32" fillId="10" borderId="0" xfId="0" applyFont="1" applyFill="1" applyBorder="1" applyAlignment="1">
      <alignment horizontal="center"/>
    </xf>
    <xf numFmtId="10" fontId="0" fillId="10" borderId="0" xfId="1" applyNumberFormat="1" applyFont="1" applyFill="1"/>
    <xf numFmtId="0" fontId="5" fillId="2" borderId="0" xfId="0" applyFont="1" applyFill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0" fillId="3" borderId="0" xfId="0" applyFill="1" applyBorder="1"/>
    <xf numFmtId="0" fontId="0" fillId="5" borderId="0" xfId="0" applyFill="1" applyBorder="1"/>
    <xf numFmtId="1" fontId="6" fillId="2" borderId="7" xfId="0" applyNumberFormat="1" applyFont="1" applyFill="1" applyBorder="1"/>
    <xf numFmtId="0" fontId="0" fillId="5" borderId="15" xfId="0" applyFill="1" applyBorder="1"/>
    <xf numFmtId="165" fontId="0" fillId="2" borderId="30" xfId="1" applyNumberFormat="1" applyFont="1" applyFill="1" applyBorder="1"/>
    <xf numFmtId="165" fontId="0" fillId="2" borderId="15" xfId="1" applyNumberFormat="1" applyFont="1" applyFill="1" applyBorder="1"/>
    <xf numFmtId="1" fontId="6" fillId="2" borderId="15" xfId="0" applyNumberFormat="1" applyFont="1" applyFill="1" applyBorder="1"/>
    <xf numFmtId="1" fontId="6" fillId="2" borderId="16" xfId="0" applyNumberFormat="1" applyFont="1" applyFill="1" applyBorder="1"/>
    <xf numFmtId="165" fontId="0" fillId="2" borderId="27" xfId="1" applyNumberFormat="1" applyFont="1" applyFill="1" applyBorder="1"/>
    <xf numFmtId="0" fontId="30" fillId="2" borderId="4" xfId="0" applyFont="1" applyFill="1" applyBorder="1" applyAlignment="1">
      <alignment horizontal="center"/>
    </xf>
    <xf numFmtId="1" fontId="30" fillId="2" borderId="7" xfId="0" applyNumberFormat="1" applyFont="1" applyFill="1" applyBorder="1"/>
    <xf numFmtId="1" fontId="30" fillId="2" borderId="15" xfId="0" applyNumberFormat="1" applyFont="1" applyFill="1" applyBorder="1"/>
    <xf numFmtId="1" fontId="30" fillId="2" borderId="16" xfId="0" applyNumberFormat="1" applyFont="1" applyFill="1" applyBorder="1"/>
    <xf numFmtId="0" fontId="0" fillId="3" borderId="0" xfId="0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3" fillId="10" borderId="0" xfId="0" applyFont="1" applyFill="1" applyAlignment="1">
      <alignment vertical="center"/>
    </xf>
    <xf numFmtId="0" fontId="6" fillId="10" borderId="4" xfId="0" applyFont="1" applyFill="1" applyBorder="1" applyAlignment="1">
      <alignment horizontal="center" vertical="center"/>
    </xf>
    <xf numFmtId="9" fontId="0" fillId="2" borderId="15" xfId="1" applyNumberFormat="1" applyFont="1" applyFill="1" applyBorder="1"/>
    <xf numFmtId="1" fontId="32" fillId="2" borderId="15" xfId="0" applyNumberFormat="1" applyFont="1" applyFill="1" applyBorder="1"/>
    <xf numFmtId="0" fontId="32" fillId="2" borderId="7" xfId="0" applyFont="1" applyFill="1" applyBorder="1"/>
    <xf numFmtId="1" fontId="32" fillId="2" borderId="16" xfId="0" applyNumberFormat="1" applyFont="1" applyFill="1" applyBorder="1"/>
    <xf numFmtId="0" fontId="28" fillId="2" borderId="24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9" fillId="2" borderId="0" xfId="0" applyFont="1" applyFill="1" applyBorder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36" fillId="3" borderId="0" xfId="0" applyFont="1" applyFill="1" applyBorder="1" applyAlignment="1">
      <alignment horizontal="center"/>
    </xf>
    <xf numFmtId="9" fontId="42" fillId="3" borderId="0" xfId="1" applyFont="1" applyFill="1" applyBorder="1" applyAlignment="1">
      <alignment horizontal="center"/>
    </xf>
    <xf numFmtId="0" fontId="37" fillId="3" borderId="0" xfId="0" applyFont="1" applyFill="1" applyBorder="1" applyAlignment="1">
      <alignment horizontal="center"/>
    </xf>
    <xf numFmtId="0" fontId="38" fillId="3" borderId="0" xfId="0" applyFont="1" applyFill="1" applyBorder="1" applyAlignment="1">
      <alignment horizontal="center"/>
    </xf>
    <xf numFmtId="0" fontId="5" fillId="3" borderId="15" xfId="0" applyFont="1" applyFill="1" applyBorder="1"/>
    <xf numFmtId="0" fontId="6" fillId="3" borderId="27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9" fontId="15" fillId="3" borderId="16" xfId="1" applyFont="1" applyFill="1" applyBorder="1" applyAlignment="1">
      <alignment horizontal="center"/>
    </xf>
    <xf numFmtId="0" fontId="36" fillId="3" borderId="15" xfId="0" applyFont="1" applyFill="1" applyBorder="1" applyAlignment="1">
      <alignment horizontal="center"/>
    </xf>
    <xf numFmtId="9" fontId="42" fillId="3" borderId="15" xfId="1" applyFont="1" applyFill="1" applyBorder="1" applyAlignment="1">
      <alignment horizontal="center"/>
    </xf>
    <xf numFmtId="0" fontId="37" fillId="3" borderId="15" xfId="0" applyFont="1" applyFill="1" applyBorder="1" applyAlignment="1">
      <alignment horizontal="center"/>
    </xf>
    <xf numFmtId="0" fontId="38" fillId="3" borderId="15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 vertical="center"/>
    </xf>
    <xf numFmtId="0" fontId="41" fillId="2" borderId="7" xfId="0" applyFont="1" applyFill="1" applyBorder="1" applyAlignment="1">
      <alignment horizontal="center" vertical="center"/>
    </xf>
    <xf numFmtId="0" fontId="5" fillId="3" borderId="8" xfId="0" applyFont="1" applyFill="1" applyBorder="1"/>
    <xf numFmtId="9" fontId="42" fillId="3" borderId="7" xfId="1" applyFont="1" applyFill="1" applyBorder="1" applyAlignment="1">
      <alignment horizontal="center"/>
    </xf>
    <xf numFmtId="0" fontId="5" fillId="3" borderId="27" xfId="0" applyFont="1" applyFill="1" applyBorder="1"/>
    <xf numFmtId="9" fontId="42" fillId="3" borderId="16" xfId="1" applyFont="1" applyFill="1" applyBorder="1" applyAlignment="1">
      <alignment horizontal="center"/>
    </xf>
    <xf numFmtId="14" fontId="6" fillId="9" borderId="0" xfId="0" applyNumberFormat="1" applyFont="1" applyFill="1" applyAlignment="1">
      <alignment horizontal="center"/>
    </xf>
    <xf numFmtId="0" fontId="0" fillId="3" borderId="0" xfId="0" applyFill="1"/>
    <xf numFmtId="0" fontId="6" fillId="3" borderId="0" xfId="0" applyFont="1" applyFill="1" applyAlignment="1">
      <alignment horizontal="center"/>
    </xf>
    <xf numFmtId="9" fontId="15" fillId="3" borderId="0" xfId="1" applyNumberFormat="1" applyFont="1" applyFill="1" applyBorder="1"/>
    <xf numFmtId="9" fontId="32" fillId="3" borderId="15" xfId="1" applyFont="1" applyFill="1" applyBorder="1"/>
    <xf numFmtId="0" fontId="6" fillId="3" borderId="0" xfId="0" applyFont="1" applyFill="1" applyAlignment="1">
      <alignment horizontal="right"/>
    </xf>
    <xf numFmtId="9" fontId="6" fillId="3" borderId="0" xfId="1" applyFont="1" applyFill="1" applyAlignment="1">
      <alignment horizontal="right"/>
    </xf>
    <xf numFmtId="0" fontId="6" fillId="3" borderId="0" xfId="0" applyFont="1" applyFill="1"/>
    <xf numFmtId="9" fontId="6" fillId="3" borderId="0" xfId="1" applyFont="1" applyFill="1"/>
    <xf numFmtId="0" fontId="32" fillId="3" borderId="0" xfId="0" applyFont="1" applyFill="1"/>
    <xf numFmtId="0" fontId="15" fillId="3" borderId="0" xfId="0" applyFont="1" applyFill="1"/>
    <xf numFmtId="1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9" fontId="6" fillId="3" borderId="0" xfId="1" applyFont="1" applyFill="1" applyBorder="1" applyAlignment="1">
      <alignment horizontal="right"/>
    </xf>
    <xf numFmtId="9" fontId="6" fillId="3" borderId="0" xfId="0" applyNumberFormat="1" applyFont="1" applyFill="1" applyBorder="1"/>
    <xf numFmtId="0" fontId="0" fillId="3" borderId="0" xfId="0" applyFill="1" applyAlignment="1">
      <alignment horizontal="right"/>
    </xf>
    <xf numFmtId="0" fontId="0" fillId="3" borderId="0" xfId="0" applyFill="1" applyBorder="1" applyAlignment="1">
      <alignment horizontal="right"/>
    </xf>
    <xf numFmtId="9" fontId="0" fillId="3" borderId="0" xfId="1" applyFont="1" applyFill="1" applyBorder="1" applyAlignment="1">
      <alignment horizontal="right"/>
    </xf>
    <xf numFmtId="9" fontId="0" fillId="3" borderId="0" xfId="1" applyFont="1" applyFill="1"/>
    <xf numFmtId="9" fontId="0" fillId="3" borderId="0" xfId="1" applyFont="1" applyFill="1" applyAlignment="1">
      <alignment horizontal="right"/>
    </xf>
    <xf numFmtId="1" fontId="6" fillId="3" borderId="29" xfId="0" applyNumberFormat="1" applyFont="1" applyFill="1" applyBorder="1"/>
    <xf numFmtId="0" fontId="31" fillId="2" borderId="9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/>
    </xf>
    <xf numFmtId="0" fontId="31" fillId="2" borderId="11" xfId="0" applyFont="1" applyFill="1" applyBorder="1" applyAlignment="1">
      <alignment horizontal="center"/>
    </xf>
    <xf numFmtId="0" fontId="29" fillId="2" borderId="9" xfId="0" applyFont="1" applyFill="1" applyBorder="1" applyAlignment="1">
      <alignment horizontal="center"/>
    </xf>
    <xf numFmtId="0" fontId="29" fillId="2" borderId="10" xfId="0" applyFont="1" applyFill="1" applyBorder="1" applyAlignment="1">
      <alignment horizont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9" fillId="2" borderId="10" xfId="0" applyFont="1" applyFill="1" applyBorder="1" applyAlignment="1">
      <alignment horizontal="center" vertical="center"/>
    </xf>
    <xf numFmtId="0" fontId="40" fillId="2" borderId="10" xfId="0" applyFont="1" applyFill="1" applyBorder="1" applyAlignment="1">
      <alignment horizontal="center" vertical="center"/>
    </xf>
    <xf numFmtId="0" fontId="41" fillId="2" borderId="10" xfId="0" applyFont="1" applyFill="1" applyBorder="1" applyAlignment="1">
      <alignment horizontal="center" vertical="center"/>
    </xf>
    <xf numFmtId="0" fontId="41" fillId="2" borderId="11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/>
    </xf>
    <xf numFmtId="9" fontId="2" fillId="2" borderId="4" xfId="1" quotePrefix="1" applyFont="1" applyFill="1" applyBorder="1" applyAlignment="1">
      <alignment horizontal="center"/>
    </xf>
    <xf numFmtId="9" fontId="2" fillId="2" borderId="5" xfId="1" quotePrefix="1" applyFont="1" applyFill="1" applyBorder="1" applyAlignment="1">
      <alignment horizontal="center"/>
    </xf>
    <xf numFmtId="9" fontId="2" fillId="2" borderId="6" xfId="1" quotePrefix="1" applyFont="1" applyFill="1" applyBorder="1" applyAlignment="1">
      <alignment horizontal="center"/>
    </xf>
    <xf numFmtId="9" fontId="27" fillId="2" borderId="19" xfId="1" quotePrefix="1" applyFont="1" applyFill="1" applyBorder="1" applyAlignment="1">
      <alignment horizontal="center"/>
    </xf>
    <xf numFmtId="9" fontId="27" fillId="2" borderId="17" xfId="1" quotePrefix="1" applyFont="1" applyFill="1" applyBorder="1" applyAlignment="1">
      <alignment horizontal="center"/>
    </xf>
    <xf numFmtId="9" fontId="27" fillId="2" borderId="20" xfId="1" quotePrefix="1" applyFont="1" applyFill="1" applyBorder="1" applyAlignment="1">
      <alignment horizontal="center"/>
    </xf>
    <xf numFmtId="9" fontId="29" fillId="2" borderId="19" xfId="1" quotePrefix="1" applyFont="1" applyFill="1" applyBorder="1" applyAlignment="1">
      <alignment horizontal="center"/>
    </xf>
    <xf numFmtId="9" fontId="29" fillId="2" borderId="17" xfId="1" quotePrefix="1" applyFont="1" applyFill="1" applyBorder="1" applyAlignment="1">
      <alignment horizontal="center"/>
    </xf>
    <xf numFmtId="9" fontId="29" fillId="2" borderId="18" xfId="1" quotePrefix="1" applyFont="1" applyFill="1" applyBorder="1" applyAlignment="1">
      <alignment horizontal="center"/>
    </xf>
    <xf numFmtId="9" fontId="31" fillId="2" borderId="9" xfId="1" quotePrefix="1" applyFont="1" applyFill="1" applyBorder="1" applyAlignment="1">
      <alignment horizontal="center"/>
    </xf>
    <xf numFmtId="9" fontId="31" fillId="2" borderId="10" xfId="1" quotePrefix="1" applyFont="1" applyFill="1" applyBorder="1" applyAlignment="1">
      <alignment horizontal="center"/>
    </xf>
    <xf numFmtId="9" fontId="31" fillId="2" borderId="11" xfId="1" quotePrefix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0" fontId="29" fillId="2" borderId="0" xfId="0" applyFon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571">
    <dxf>
      <font>
        <color rgb="FF00FFFF"/>
      </font>
    </dxf>
    <dxf>
      <font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FF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color theme="2" tint="-0.24994659260841701"/>
      </font>
    </dxf>
    <dxf>
      <font>
        <color rgb="FF00B0F0"/>
      </font>
    </dxf>
    <dxf>
      <font>
        <color rgb="FFFFC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00FF00"/>
      </font>
    </dxf>
    <dxf>
      <font>
        <color rgb="FF80FF00"/>
      </font>
    </dxf>
    <dxf>
      <font>
        <b val="0"/>
        <i val="0"/>
        <color rgb="FF40FF00"/>
      </font>
    </dxf>
    <dxf>
      <font>
        <color rgb="FFBFFF00"/>
      </font>
    </dxf>
    <dxf>
      <font>
        <color rgb="FFFFFF00"/>
      </font>
    </dxf>
    <dxf>
      <font>
        <color rgb="FFFFBF00"/>
      </font>
    </dxf>
    <dxf>
      <font>
        <color rgb="FFFF8000"/>
      </font>
    </dxf>
    <dxf>
      <font>
        <color rgb="FFFF4000"/>
      </font>
    </dxf>
    <dxf>
      <font>
        <color rgb="FF49FF00"/>
      </font>
    </dxf>
    <dxf>
      <font>
        <b val="0"/>
        <i val="0"/>
        <color rgb="FF92FF00"/>
      </font>
    </dxf>
    <dxf>
      <font>
        <color rgb="FFDBFF00"/>
      </font>
    </dxf>
    <dxf>
      <font>
        <color rgb="FFFFDB00"/>
      </font>
    </dxf>
    <dxf>
      <font>
        <color rgb="FFFF9200"/>
      </font>
    </dxf>
    <dxf>
      <font>
        <color rgb="FFFF49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  <dxf>
      <font>
        <b val="0"/>
        <i val="0"/>
        <color rgb="FF00FF00"/>
      </font>
    </dxf>
    <dxf>
      <font>
        <b val="0"/>
        <i val="0"/>
        <color rgb="FFFF0000"/>
      </font>
    </dxf>
  </dxfs>
  <tableStyles count="0" defaultTableStyle="TableStyleMedium2" defaultPivotStyle="PivotStyleLight16"/>
  <colors>
    <mruColors>
      <color rgb="FF00FFFF"/>
      <color rgb="FFFF6565"/>
      <color rgb="FFF8696B"/>
      <color rgb="FFCCFFFF"/>
      <color rgb="FF00FF00"/>
      <color rgb="FF63BE7B"/>
      <color rgb="FFFF4B4B"/>
      <color rgb="FFFFEB84"/>
      <color rgb="FFFFDB00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146130520680238E-2"/>
          <c:y val="2.8414476290895895E-2"/>
          <c:w val="0.75951252469556807"/>
          <c:h val="0.9116612847980721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numRef>
              <c:f>Stats!$X$9:$AF$9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f>Stats!$Y$6:$AE$6</c:f>
              <c:numCache>
                <c:formatCode>0%</c:formatCode>
                <c:ptCount val="7"/>
                <c:pt idx="0">
                  <c:v>0.7857142857142857</c:v>
                </c:pt>
                <c:pt idx="1">
                  <c:v>0.84375</c:v>
                </c:pt>
                <c:pt idx="2">
                  <c:v>0.84090909090909094</c:v>
                </c:pt>
                <c:pt idx="3">
                  <c:v>0.83333333333333337</c:v>
                </c:pt>
                <c:pt idx="4">
                  <c:v>0.80952380952380953</c:v>
                </c:pt>
                <c:pt idx="5">
                  <c:v>0.81333333333333335</c:v>
                </c:pt>
                <c:pt idx="6">
                  <c:v>0.78409090909090906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A-424E-AA85-F1EAC17C86E6}"/>
            </c:ext>
          </c:extLst>
        </c:ser>
        <c:ser>
          <c:idx val="1"/>
          <c:order val="1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trendline>
            <c:spPr>
              <a:ln w="38100" cap="rnd">
                <a:solidFill>
                  <a:srgbClr val="FF0000"/>
                </a:solidFill>
                <a:prstDash val="sysDot"/>
              </a:ln>
              <a:effectLst/>
            </c:spPr>
            <c:trendlineType val="exp"/>
            <c:forward val="2"/>
            <c:dispRSqr val="0"/>
            <c:dispEq val="0"/>
          </c:trendline>
          <c:cat>
            <c:numRef>
              <c:f>Stats!$X$9:$AF$9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cat>
          <c:val>
            <c:numRef>
              <c:f>Stats!$Y$12:$AF$12</c:f>
              <c:numCache>
                <c:formatCode>0%</c:formatCode>
                <c:ptCount val="8"/>
                <c:pt idx="0">
                  <c:v>0.66666666666666663</c:v>
                </c:pt>
                <c:pt idx="1">
                  <c:v>0.5625</c:v>
                </c:pt>
                <c:pt idx="2">
                  <c:v>0.65</c:v>
                </c:pt>
                <c:pt idx="3">
                  <c:v>0.6</c:v>
                </c:pt>
                <c:pt idx="4">
                  <c:v>0.61538461538461542</c:v>
                </c:pt>
                <c:pt idx="5">
                  <c:v>0.6875</c:v>
                </c:pt>
                <c:pt idx="6">
                  <c:v>0.67567567567567566</c:v>
                </c:pt>
                <c:pt idx="7">
                  <c:v>0.69767441860465118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EA-424E-AA85-F1EAC17C8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03135"/>
        <c:axId val="496499807"/>
      </c:lineChart>
      <c:catAx>
        <c:axId val="49650313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99807"/>
        <c:crossesAt val="0"/>
        <c:auto val="0"/>
        <c:lblAlgn val="ctr"/>
        <c:lblOffset val="100"/>
        <c:noMultiLvlLbl val="0"/>
      </c:catAx>
      <c:valAx>
        <c:axId val="496499807"/>
        <c:scaling>
          <c:orientation val="minMax"/>
          <c:max val="1"/>
          <c:min val="0.5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03135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361950</xdr:colOff>
          <xdr:row>22</xdr:row>
          <xdr:rowOff>85725</xdr:rowOff>
        </xdr:from>
        <xdr:to>
          <xdr:col>21</xdr:col>
          <xdr:colOff>542925</xdr:colOff>
          <xdr:row>25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Mistakes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19050</xdr:rowOff>
        </xdr:from>
        <xdr:to>
          <xdr:col>0</xdr:col>
          <xdr:colOff>771525</xdr:colOff>
          <xdr:row>26</xdr:row>
          <xdr:rowOff>47625</xdr:rowOff>
        </xdr:to>
        <xdr:sp macro="" textlink="">
          <xdr:nvSpPr>
            <xdr:cNvPr id="3074" name="Check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27</xdr:row>
          <xdr:rowOff>95250</xdr:rowOff>
        </xdr:from>
        <xdr:to>
          <xdr:col>0</xdr:col>
          <xdr:colOff>762000</xdr:colOff>
          <xdr:row>28</xdr:row>
          <xdr:rowOff>114300</xdr:rowOff>
        </xdr:to>
        <xdr:sp macro="" textlink="">
          <xdr:nvSpPr>
            <xdr:cNvPr id="3075" name="CheckBox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29</xdr:row>
          <xdr:rowOff>171450</xdr:rowOff>
        </xdr:from>
        <xdr:to>
          <xdr:col>2</xdr:col>
          <xdr:colOff>28575</xdr:colOff>
          <xdr:row>31</xdr:row>
          <xdr:rowOff>9525</xdr:rowOff>
        </xdr:to>
        <xdr:sp macro="" textlink="">
          <xdr:nvSpPr>
            <xdr:cNvPr id="3076" name="CheckBox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32</xdr:row>
          <xdr:rowOff>76200</xdr:rowOff>
        </xdr:from>
        <xdr:to>
          <xdr:col>1</xdr:col>
          <xdr:colOff>285750</xdr:colOff>
          <xdr:row>33</xdr:row>
          <xdr:rowOff>95250</xdr:rowOff>
        </xdr:to>
        <xdr:sp macro="" textlink="">
          <xdr:nvSpPr>
            <xdr:cNvPr id="3078" name="CheckBox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34</xdr:row>
          <xdr:rowOff>142875</xdr:rowOff>
        </xdr:from>
        <xdr:to>
          <xdr:col>1</xdr:col>
          <xdr:colOff>276225</xdr:colOff>
          <xdr:row>35</xdr:row>
          <xdr:rowOff>161925</xdr:rowOff>
        </xdr:to>
        <xdr:sp macro="" textlink="">
          <xdr:nvSpPr>
            <xdr:cNvPr id="3080" name="CheckBox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37</xdr:row>
          <xdr:rowOff>28575</xdr:rowOff>
        </xdr:from>
        <xdr:to>
          <xdr:col>1</xdr:col>
          <xdr:colOff>276225</xdr:colOff>
          <xdr:row>38</xdr:row>
          <xdr:rowOff>57150</xdr:rowOff>
        </xdr:to>
        <xdr:sp macro="" textlink="">
          <xdr:nvSpPr>
            <xdr:cNvPr id="3081" name="CheckBox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21</xdr:row>
          <xdr:rowOff>123825</xdr:rowOff>
        </xdr:from>
        <xdr:to>
          <xdr:col>0</xdr:col>
          <xdr:colOff>685800</xdr:colOff>
          <xdr:row>24</xdr:row>
          <xdr:rowOff>66675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57150</xdr:rowOff>
        </xdr:from>
        <xdr:to>
          <xdr:col>16</xdr:col>
          <xdr:colOff>19050</xdr:colOff>
          <xdr:row>1</xdr:row>
          <xdr:rowOff>238125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1</xdr:row>
          <xdr:rowOff>285750</xdr:rowOff>
        </xdr:from>
        <xdr:to>
          <xdr:col>16</xdr:col>
          <xdr:colOff>247650</xdr:colOff>
          <xdr:row>19</xdr:row>
          <xdr:rowOff>38100</xdr:rowOff>
        </xdr:to>
        <xdr:sp macro="" textlink="">
          <xdr:nvSpPr>
            <xdr:cNvPr id="7173" name="ListBox1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1</xdr:row>
          <xdr:rowOff>285750</xdr:rowOff>
        </xdr:from>
        <xdr:to>
          <xdr:col>21</xdr:col>
          <xdr:colOff>323850</xdr:colOff>
          <xdr:row>2</xdr:row>
          <xdr:rowOff>295275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1</xdr:row>
          <xdr:rowOff>228600</xdr:rowOff>
        </xdr:from>
        <xdr:to>
          <xdr:col>23</xdr:col>
          <xdr:colOff>123825</xdr:colOff>
          <xdr:row>4</xdr:row>
          <xdr:rowOff>314325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21</xdr:row>
          <xdr:rowOff>76200</xdr:rowOff>
        </xdr:from>
        <xdr:to>
          <xdr:col>0</xdr:col>
          <xdr:colOff>666750</xdr:colOff>
          <xdr:row>24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25</xdr:row>
          <xdr:rowOff>0</xdr:rowOff>
        </xdr:from>
        <xdr:to>
          <xdr:col>2</xdr:col>
          <xdr:colOff>0</xdr:colOff>
          <xdr:row>27</xdr:row>
          <xdr:rowOff>9525</xdr:rowOff>
        </xdr:to>
        <xdr:sp macro="" textlink="">
          <xdr:nvSpPr>
            <xdr:cNvPr id="13314" name="CheckBox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30</xdr:row>
          <xdr:rowOff>123825</xdr:rowOff>
        </xdr:from>
        <xdr:to>
          <xdr:col>2</xdr:col>
          <xdr:colOff>0</xdr:colOff>
          <xdr:row>32</xdr:row>
          <xdr:rowOff>133350</xdr:rowOff>
        </xdr:to>
        <xdr:sp macro="" textlink="">
          <xdr:nvSpPr>
            <xdr:cNvPr id="13315" name="CheckBox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27</xdr:row>
          <xdr:rowOff>152400</xdr:rowOff>
        </xdr:from>
        <xdr:to>
          <xdr:col>2</xdr:col>
          <xdr:colOff>0</xdr:colOff>
          <xdr:row>29</xdr:row>
          <xdr:rowOff>161925</xdr:rowOff>
        </xdr:to>
        <xdr:sp macro="" textlink="">
          <xdr:nvSpPr>
            <xdr:cNvPr id="13316" name="CheckBox3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33</xdr:row>
          <xdr:rowOff>95250</xdr:rowOff>
        </xdr:from>
        <xdr:to>
          <xdr:col>2</xdr:col>
          <xdr:colOff>0</xdr:colOff>
          <xdr:row>35</xdr:row>
          <xdr:rowOff>104775</xdr:rowOff>
        </xdr:to>
        <xdr:sp macro="" textlink="">
          <xdr:nvSpPr>
            <xdr:cNvPr id="13317" name="CheckBox4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123825</xdr:colOff>
          <xdr:row>2</xdr:row>
          <xdr:rowOff>66675</xdr:rowOff>
        </xdr:from>
        <xdr:to>
          <xdr:col>20</xdr:col>
          <xdr:colOff>514350</xdr:colOff>
          <xdr:row>7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161925</xdr:colOff>
          <xdr:row>11</xdr:row>
          <xdr:rowOff>123825</xdr:rowOff>
        </xdr:from>
        <xdr:to>
          <xdr:col>20</xdr:col>
          <xdr:colOff>361950</xdr:colOff>
          <xdr:row>12</xdr:row>
          <xdr:rowOff>190500</xdr:rowOff>
        </xdr:to>
        <xdr:sp macro="" textlink="">
          <xdr:nvSpPr>
            <xdr:cNvPr id="2052" name="Check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161925</xdr:colOff>
          <xdr:row>14</xdr:row>
          <xdr:rowOff>123825</xdr:rowOff>
        </xdr:from>
        <xdr:to>
          <xdr:col>20</xdr:col>
          <xdr:colOff>361950</xdr:colOff>
          <xdr:row>16</xdr:row>
          <xdr:rowOff>0</xdr:rowOff>
        </xdr:to>
        <xdr:sp macro="" textlink="">
          <xdr:nvSpPr>
            <xdr:cNvPr id="2055" name="CheckBox2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6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538369</xdr:colOff>
      <xdr:row>13</xdr:row>
      <xdr:rowOff>68440</xdr:rowOff>
    </xdr:from>
    <xdr:to>
      <xdr:col>34</xdr:col>
      <xdr:colOff>385766</xdr:colOff>
      <xdr:row>33</xdr:row>
      <xdr:rowOff>140805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control" Target="../activeX/activeX8.xml"/><Relationship Id="rId7" Type="http://schemas.openxmlformats.org/officeDocument/2006/relationships/control" Target="../activeX/activeX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9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9.xml"/><Relationship Id="rId10" Type="http://schemas.openxmlformats.org/officeDocument/2006/relationships/image" Target="../media/image11.emf"/><Relationship Id="rId4" Type="http://schemas.openxmlformats.org/officeDocument/2006/relationships/image" Target="../media/image8.emf"/><Relationship Id="rId9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80A1D-D02F-40E6-9E24-BEE0F052E515}">
  <sheetPr codeName="Sheet1"/>
  <dimension ref="A1:AL182"/>
  <sheetViews>
    <sheetView showGridLines="0" zoomScale="55" zoomScaleNormal="55" workbookViewId="0">
      <pane ySplit="1" topLeftCell="A2" activePane="bottomLeft" state="frozen"/>
      <selection activeCell="G29" sqref="G29"/>
      <selection pane="bottomLeft" activeCell="J59" sqref="J59"/>
    </sheetView>
  </sheetViews>
  <sheetFormatPr defaultRowHeight="15" x14ac:dyDescent="0.25"/>
  <cols>
    <col min="1" max="1" width="8.42578125" style="248" bestFit="1" customWidth="1"/>
    <col min="2" max="2" width="11.28515625" style="253" bestFit="1" customWidth="1"/>
    <col min="3" max="3" width="9.28515625" style="248" bestFit="1" customWidth="1"/>
    <col min="4" max="4" width="7" style="247" bestFit="1" customWidth="1"/>
    <col min="5" max="5" width="10.42578125" style="247" bestFit="1" customWidth="1"/>
    <col min="6" max="6" width="13.5703125" style="249" bestFit="1" customWidth="1"/>
    <col min="7" max="7" width="14" style="249" bestFit="1" customWidth="1"/>
    <col min="8" max="8" width="10.140625" style="250" bestFit="1" customWidth="1"/>
    <col min="9" max="13" width="12.7109375" style="250" bestFit="1" customWidth="1"/>
    <col min="14" max="15" width="9.5703125" style="250" bestFit="1" customWidth="1"/>
    <col min="16" max="16" width="7.5703125" style="248" bestFit="1" customWidth="1"/>
    <col min="17" max="17" width="11.7109375" style="251" bestFit="1" customWidth="1"/>
    <col min="18" max="18" width="8.5703125" style="249" bestFit="1" customWidth="1"/>
    <col min="19" max="19" width="8.140625" style="252" bestFit="1" customWidth="1"/>
    <col min="20" max="20" width="6.85546875" style="247" bestFit="1" customWidth="1"/>
    <col min="21" max="35" width="9.140625" style="215"/>
    <col min="36" max="37" width="4" style="215" bestFit="1" customWidth="1"/>
    <col min="38" max="38" width="3" style="215" bestFit="1" customWidth="1"/>
    <col min="39" max="16384" width="9.140625" style="215"/>
  </cols>
  <sheetData>
    <row r="1" spans="1:38" s="214" customFormat="1" x14ac:dyDescent="0.25">
      <c r="A1" s="116" t="s">
        <v>4</v>
      </c>
      <c r="B1" s="117" t="s">
        <v>20</v>
      </c>
      <c r="C1" s="117" t="s">
        <v>97</v>
      </c>
      <c r="D1" s="117" t="s">
        <v>18</v>
      </c>
      <c r="E1" s="117" t="s">
        <v>0</v>
      </c>
      <c r="F1" s="118" t="s">
        <v>10</v>
      </c>
      <c r="G1" s="118" t="s">
        <v>9</v>
      </c>
      <c r="H1" s="119" t="s">
        <v>32</v>
      </c>
      <c r="I1" s="119" t="s">
        <v>33</v>
      </c>
      <c r="J1" s="119" t="s">
        <v>34</v>
      </c>
      <c r="K1" s="119" t="s">
        <v>35</v>
      </c>
      <c r="L1" s="119" t="s">
        <v>36</v>
      </c>
      <c r="M1" s="119" t="s">
        <v>37</v>
      </c>
      <c r="N1" s="119" t="s">
        <v>38</v>
      </c>
      <c r="O1" s="119" t="s">
        <v>39</v>
      </c>
      <c r="P1" s="117" t="s">
        <v>5</v>
      </c>
      <c r="Q1" s="117" t="s">
        <v>6</v>
      </c>
      <c r="R1" s="117" t="s">
        <v>47</v>
      </c>
      <c r="S1" s="117" t="s">
        <v>1</v>
      </c>
      <c r="T1" s="120" t="s">
        <v>3</v>
      </c>
    </row>
    <row r="2" spans="1:38" x14ac:dyDescent="0.25">
      <c r="A2" s="6">
        <v>1</v>
      </c>
      <c r="B2" s="7" t="s">
        <v>21</v>
      </c>
      <c r="C2" s="9" t="s">
        <v>13</v>
      </c>
      <c r="D2" s="6" t="s">
        <v>22</v>
      </c>
      <c r="E2" s="6">
        <v>9</v>
      </c>
      <c r="F2" s="121" t="s">
        <v>41</v>
      </c>
      <c r="G2" s="121" t="s">
        <v>66</v>
      </c>
      <c r="H2" s="122" t="s">
        <v>8</v>
      </c>
      <c r="I2" s="122" t="s">
        <v>7</v>
      </c>
      <c r="J2" s="122" t="s">
        <v>16</v>
      </c>
      <c r="K2" s="122" t="s">
        <v>17</v>
      </c>
      <c r="L2" s="122" t="s">
        <v>12</v>
      </c>
      <c r="M2" s="122" t="s">
        <v>11</v>
      </c>
      <c r="N2" s="122" t="s">
        <v>14</v>
      </c>
      <c r="O2" s="122"/>
      <c r="P2" s="6">
        <v>9</v>
      </c>
      <c r="Q2" s="11"/>
      <c r="R2" s="5"/>
      <c r="S2" s="10" t="s">
        <v>2</v>
      </c>
      <c r="T2" s="6"/>
    </row>
    <row r="3" spans="1:38" x14ac:dyDescent="0.25">
      <c r="A3" s="6">
        <v>2</v>
      </c>
      <c r="B3" s="7" t="s">
        <v>21</v>
      </c>
      <c r="C3" s="9" t="s">
        <v>13</v>
      </c>
      <c r="D3" s="6" t="s">
        <v>22</v>
      </c>
      <c r="E3" s="6">
        <v>9</v>
      </c>
      <c r="F3" s="121" t="s">
        <v>7</v>
      </c>
      <c r="G3" s="121" t="s">
        <v>66</v>
      </c>
      <c r="H3" s="122" t="s">
        <v>8</v>
      </c>
      <c r="I3" s="122" t="s">
        <v>41</v>
      </c>
      <c r="J3" s="122" t="s">
        <v>16</v>
      </c>
      <c r="K3" s="122" t="s">
        <v>17</v>
      </c>
      <c r="L3" s="122" t="s">
        <v>12</v>
      </c>
      <c r="M3" s="122" t="s">
        <v>11</v>
      </c>
      <c r="N3" s="122" t="s">
        <v>14</v>
      </c>
      <c r="O3" s="122"/>
      <c r="P3" s="6">
        <v>8</v>
      </c>
      <c r="Q3" s="11" t="s">
        <v>2</v>
      </c>
      <c r="R3" s="5"/>
      <c r="S3" s="10"/>
      <c r="T3" s="6"/>
      <c r="AJ3" s="216"/>
      <c r="AK3" s="216"/>
      <c r="AL3" s="216"/>
    </row>
    <row r="4" spans="1:38" x14ac:dyDescent="0.25">
      <c r="A4" s="6">
        <v>3</v>
      </c>
      <c r="B4" s="7" t="s">
        <v>21</v>
      </c>
      <c r="C4" s="9" t="s">
        <v>13</v>
      </c>
      <c r="D4" s="6" t="s">
        <v>22</v>
      </c>
      <c r="E4" s="6">
        <v>9</v>
      </c>
      <c r="F4" s="121" t="s">
        <v>12</v>
      </c>
      <c r="G4" s="121" t="s">
        <v>11</v>
      </c>
      <c r="H4" s="122" t="s">
        <v>8</v>
      </c>
      <c r="I4" s="122" t="s">
        <v>7</v>
      </c>
      <c r="J4" s="122" t="s">
        <v>41</v>
      </c>
      <c r="K4" s="122" t="s">
        <v>16</v>
      </c>
      <c r="L4" s="122" t="s">
        <v>17</v>
      </c>
      <c r="M4" s="122" t="s">
        <v>66</v>
      </c>
      <c r="N4" s="122" t="s">
        <v>14</v>
      </c>
      <c r="O4" s="122"/>
      <c r="P4" s="6">
        <v>5</v>
      </c>
      <c r="Q4" s="11"/>
      <c r="R4" s="5"/>
      <c r="S4" s="10" t="s">
        <v>2</v>
      </c>
      <c r="T4" s="6"/>
      <c r="AJ4" s="216"/>
      <c r="AK4" s="216"/>
      <c r="AL4" s="216"/>
    </row>
    <row r="5" spans="1:38" x14ac:dyDescent="0.25">
      <c r="A5" s="6">
        <v>4</v>
      </c>
      <c r="B5" s="7" t="s">
        <v>21</v>
      </c>
      <c r="C5" s="9" t="s">
        <v>13</v>
      </c>
      <c r="D5" s="6" t="s">
        <v>22</v>
      </c>
      <c r="E5" s="6">
        <v>9</v>
      </c>
      <c r="F5" s="121" t="s">
        <v>12</v>
      </c>
      <c r="G5" s="121" t="s">
        <v>14</v>
      </c>
      <c r="H5" s="122" t="s">
        <v>8</v>
      </c>
      <c r="I5" s="122" t="s">
        <v>7</v>
      </c>
      <c r="J5" s="122" t="s">
        <v>41</v>
      </c>
      <c r="K5" s="122" t="s">
        <v>16</v>
      </c>
      <c r="L5" s="122" t="s">
        <v>17</v>
      </c>
      <c r="M5" s="122" t="s">
        <v>11</v>
      </c>
      <c r="N5" s="122" t="s">
        <v>66</v>
      </c>
      <c r="O5" s="122"/>
      <c r="P5" s="6">
        <v>5</v>
      </c>
      <c r="Q5" s="11" t="s">
        <v>2</v>
      </c>
      <c r="R5" s="5"/>
      <c r="S5" s="10"/>
      <c r="T5" s="6"/>
      <c r="AJ5" s="216"/>
      <c r="AK5" s="216"/>
      <c r="AL5" s="216"/>
    </row>
    <row r="6" spans="1:38" x14ac:dyDescent="0.25">
      <c r="A6" s="6">
        <v>5</v>
      </c>
      <c r="B6" s="7" t="s">
        <v>21</v>
      </c>
      <c r="C6" s="9" t="s">
        <v>13</v>
      </c>
      <c r="D6" s="6" t="s">
        <v>22</v>
      </c>
      <c r="E6" s="6">
        <v>9</v>
      </c>
      <c r="F6" s="121" t="s">
        <v>41</v>
      </c>
      <c r="G6" s="121" t="s">
        <v>14</v>
      </c>
      <c r="H6" s="122" t="s">
        <v>8</v>
      </c>
      <c r="I6" s="122" t="s">
        <v>7</v>
      </c>
      <c r="J6" s="122" t="s">
        <v>16</v>
      </c>
      <c r="K6" s="122" t="s">
        <v>17</v>
      </c>
      <c r="L6" s="122" t="s">
        <v>12</v>
      </c>
      <c r="M6" s="122" t="s">
        <v>11</v>
      </c>
      <c r="N6" s="122" t="s">
        <v>66</v>
      </c>
      <c r="O6" s="122"/>
      <c r="P6" s="6">
        <v>5</v>
      </c>
      <c r="Q6" s="11" t="s">
        <v>2</v>
      </c>
      <c r="R6" s="5"/>
      <c r="S6" s="10"/>
      <c r="T6" s="6"/>
    </row>
    <row r="7" spans="1:38" x14ac:dyDescent="0.25">
      <c r="A7" s="6">
        <v>6</v>
      </c>
      <c r="B7" s="7" t="s">
        <v>21</v>
      </c>
      <c r="C7" s="9" t="s">
        <v>15</v>
      </c>
      <c r="D7" s="6" t="s">
        <v>22</v>
      </c>
      <c r="E7" s="6">
        <v>9</v>
      </c>
      <c r="F7" s="121" t="s">
        <v>16</v>
      </c>
      <c r="G7" s="121" t="s">
        <v>12</v>
      </c>
      <c r="H7" s="122" t="s">
        <v>8</v>
      </c>
      <c r="I7" s="122" t="s">
        <v>7</v>
      </c>
      <c r="J7" s="122" t="s">
        <v>41</v>
      </c>
      <c r="K7" s="122" t="s">
        <v>17</v>
      </c>
      <c r="L7" s="122" t="s">
        <v>11</v>
      </c>
      <c r="M7" s="122" t="s">
        <v>66</v>
      </c>
      <c r="N7" s="122" t="s">
        <v>14</v>
      </c>
      <c r="O7" s="122"/>
      <c r="P7" s="6">
        <v>4</v>
      </c>
      <c r="Q7" s="11" t="s">
        <v>2</v>
      </c>
      <c r="R7" s="5"/>
      <c r="S7" s="10"/>
      <c r="T7" s="6">
        <v>3</v>
      </c>
      <c r="AJ7" s="216"/>
      <c r="AK7" s="216"/>
      <c r="AL7" s="216"/>
    </row>
    <row r="8" spans="1:38" x14ac:dyDescent="0.25">
      <c r="A8" s="6">
        <v>7</v>
      </c>
      <c r="B8" s="7" t="s">
        <v>21</v>
      </c>
      <c r="C8" s="9" t="s">
        <v>13</v>
      </c>
      <c r="D8" s="6" t="s">
        <v>22</v>
      </c>
      <c r="E8" s="6">
        <v>9</v>
      </c>
      <c r="F8" s="121" t="s">
        <v>17</v>
      </c>
      <c r="G8" s="121" t="s">
        <v>11</v>
      </c>
      <c r="H8" s="122" t="s">
        <v>8</v>
      </c>
      <c r="I8" s="122" t="s">
        <v>7</v>
      </c>
      <c r="J8" s="122" t="s">
        <v>41</v>
      </c>
      <c r="K8" s="122" t="s">
        <v>16</v>
      </c>
      <c r="L8" s="122" t="s">
        <v>12</v>
      </c>
      <c r="M8" s="122" t="s">
        <v>66</v>
      </c>
      <c r="N8" s="122" t="s">
        <v>14</v>
      </c>
      <c r="O8" s="122"/>
      <c r="P8" s="8">
        <v>8</v>
      </c>
      <c r="Q8" s="11"/>
      <c r="R8" s="5"/>
      <c r="S8" s="10" t="s">
        <v>2</v>
      </c>
      <c r="T8" s="6"/>
      <c r="AJ8" s="216"/>
      <c r="AK8" s="216"/>
      <c r="AL8" s="216"/>
    </row>
    <row r="9" spans="1:38" x14ac:dyDescent="0.25">
      <c r="A9" s="6">
        <v>8</v>
      </c>
      <c r="B9" s="7" t="s">
        <v>21</v>
      </c>
      <c r="C9" s="9" t="s">
        <v>13</v>
      </c>
      <c r="D9" s="6" t="s">
        <v>19</v>
      </c>
      <c r="E9" s="6">
        <v>9</v>
      </c>
      <c r="F9" s="121" t="s">
        <v>12</v>
      </c>
      <c r="G9" s="121" t="s">
        <v>14</v>
      </c>
      <c r="H9" s="122" t="s">
        <v>8</v>
      </c>
      <c r="I9" s="122" t="s">
        <v>7</v>
      </c>
      <c r="J9" s="122" t="s">
        <v>41</v>
      </c>
      <c r="K9" s="122" t="s">
        <v>16</v>
      </c>
      <c r="L9" s="122" t="s">
        <v>17</v>
      </c>
      <c r="M9" s="122" t="s">
        <v>11</v>
      </c>
      <c r="N9" s="122" t="s">
        <v>66</v>
      </c>
      <c r="O9" s="122"/>
      <c r="P9" s="6">
        <v>4</v>
      </c>
      <c r="Q9" s="11" t="s">
        <v>2</v>
      </c>
      <c r="R9" s="5"/>
      <c r="S9" s="10"/>
      <c r="T9" s="6"/>
      <c r="AJ9" s="216"/>
      <c r="AK9" s="216"/>
      <c r="AL9" s="216"/>
    </row>
    <row r="10" spans="1:38" x14ac:dyDescent="0.25">
      <c r="A10" s="6">
        <v>9</v>
      </c>
      <c r="B10" s="7" t="s">
        <v>21</v>
      </c>
      <c r="C10" s="9" t="s">
        <v>13</v>
      </c>
      <c r="D10" s="6" t="s">
        <v>19</v>
      </c>
      <c r="E10" s="6">
        <v>9</v>
      </c>
      <c r="F10" s="121" t="s">
        <v>7</v>
      </c>
      <c r="G10" s="121" t="s">
        <v>14</v>
      </c>
      <c r="H10" s="122" t="s">
        <v>8</v>
      </c>
      <c r="I10" s="122" t="s">
        <v>41</v>
      </c>
      <c r="J10" s="122" t="s">
        <v>16</v>
      </c>
      <c r="K10" s="122" t="s">
        <v>17</v>
      </c>
      <c r="L10" s="122" t="s">
        <v>12</v>
      </c>
      <c r="M10" s="122" t="s">
        <v>11</v>
      </c>
      <c r="N10" s="122" t="s">
        <v>66</v>
      </c>
      <c r="O10" s="122"/>
      <c r="P10" s="6">
        <v>4</v>
      </c>
      <c r="Q10" s="11" t="s">
        <v>2</v>
      </c>
      <c r="R10" s="5"/>
      <c r="S10" s="10"/>
      <c r="T10" s="6"/>
    </row>
    <row r="11" spans="1:38" x14ac:dyDescent="0.25">
      <c r="A11" s="6">
        <v>10</v>
      </c>
      <c r="B11" s="7" t="s">
        <v>21</v>
      </c>
      <c r="C11" s="9" t="s">
        <v>15</v>
      </c>
      <c r="D11" s="6" t="s">
        <v>19</v>
      </c>
      <c r="E11" s="6">
        <v>9</v>
      </c>
      <c r="F11" s="121" t="s">
        <v>41</v>
      </c>
      <c r="G11" s="121" t="s">
        <v>16</v>
      </c>
      <c r="H11" s="122" t="s">
        <v>8</v>
      </c>
      <c r="I11" s="122" t="s">
        <v>7</v>
      </c>
      <c r="J11" s="122" t="s">
        <v>17</v>
      </c>
      <c r="K11" s="122" t="s">
        <v>12</v>
      </c>
      <c r="L11" s="122" t="s">
        <v>11</v>
      </c>
      <c r="M11" s="122" t="s">
        <v>66</v>
      </c>
      <c r="N11" s="122" t="s">
        <v>14</v>
      </c>
      <c r="O11" s="122"/>
      <c r="P11" s="6">
        <v>4</v>
      </c>
      <c r="Q11" s="11" t="s">
        <v>2</v>
      </c>
      <c r="R11" s="5"/>
      <c r="S11" s="10"/>
      <c r="T11" s="6">
        <v>3</v>
      </c>
    </row>
    <row r="12" spans="1:38" x14ac:dyDescent="0.25">
      <c r="A12" s="6">
        <v>11</v>
      </c>
      <c r="B12" s="7" t="s">
        <v>21</v>
      </c>
      <c r="C12" s="9" t="s">
        <v>13</v>
      </c>
      <c r="D12" s="6" t="s">
        <v>19</v>
      </c>
      <c r="E12" s="6">
        <v>9</v>
      </c>
      <c r="F12" s="121" t="s">
        <v>17</v>
      </c>
      <c r="G12" s="121" t="s">
        <v>11</v>
      </c>
      <c r="H12" s="122" t="s">
        <v>8</v>
      </c>
      <c r="I12" s="122" t="s">
        <v>7</v>
      </c>
      <c r="J12" s="122" t="s">
        <v>41</v>
      </c>
      <c r="K12" s="122" t="s">
        <v>16</v>
      </c>
      <c r="L12" s="122" t="s">
        <v>12</v>
      </c>
      <c r="M12" s="122" t="s">
        <v>66</v>
      </c>
      <c r="N12" s="122" t="s">
        <v>14</v>
      </c>
      <c r="O12" s="122"/>
      <c r="P12" s="6">
        <v>8</v>
      </c>
      <c r="Q12" s="11"/>
      <c r="R12" s="5"/>
      <c r="S12" s="10" t="s">
        <v>2</v>
      </c>
      <c r="T12" s="6"/>
    </row>
    <row r="13" spans="1:38" x14ac:dyDescent="0.25">
      <c r="A13" s="6">
        <v>12</v>
      </c>
      <c r="B13" s="7" t="s">
        <v>21</v>
      </c>
      <c r="C13" s="9" t="s">
        <v>13</v>
      </c>
      <c r="D13" s="6" t="s">
        <v>19</v>
      </c>
      <c r="E13" s="6">
        <v>9</v>
      </c>
      <c r="F13" s="121" t="s">
        <v>12</v>
      </c>
      <c r="G13" s="121" t="s">
        <v>66</v>
      </c>
      <c r="H13" s="122" t="s">
        <v>8</v>
      </c>
      <c r="I13" s="122" t="s">
        <v>7</v>
      </c>
      <c r="J13" s="122" t="s">
        <v>41</v>
      </c>
      <c r="K13" s="122" t="s">
        <v>16</v>
      </c>
      <c r="L13" s="122" t="s">
        <v>17</v>
      </c>
      <c r="M13" s="122" t="s">
        <v>11</v>
      </c>
      <c r="N13" s="122" t="s">
        <v>14</v>
      </c>
      <c r="O13" s="122"/>
      <c r="P13" s="6">
        <v>7</v>
      </c>
      <c r="Q13" s="11" t="s">
        <v>2</v>
      </c>
      <c r="R13" s="5"/>
      <c r="S13" s="10"/>
      <c r="T13" s="6"/>
    </row>
    <row r="14" spans="1:38" x14ac:dyDescent="0.25">
      <c r="A14" s="6">
        <v>13</v>
      </c>
      <c r="B14" s="7" t="s">
        <v>21</v>
      </c>
      <c r="C14" s="311" t="s">
        <v>15</v>
      </c>
      <c r="D14" s="6" t="s">
        <v>19</v>
      </c>
      <c r="E14" s="6">
        <v>9</v>
      </c>
      <c r="F14" s="121" t="s">
        <v>8</v>
      </c>
      <c r="G14" s="121" t="s">
        <v>7</v>
      </c>
      <c r="H14" s="122" t="s">
        <v>41</v>
      </c>
      <c r="I14" s="122" t="s">
        <v>16</v>
      </c>
      <c r="J14" s="122" t="s">
        <v>17</v>
      </c>
      <c r="K14" s="122" t="s">
        <v>12</v>
      </c>
      <c r="L14" s="122" t="s">
        <v>11</v>
      </c>
      <c r="M14" s="122" t="s">
        <v>66</v>
      </c>
      <c r="N14" s="122" t="s">
        <v>14</v>
      </c>
      <c r="O14" s="122"/>
      <c r="P14" s="6">
        <v>6</v>
      </c>
      <c r="Q14" s="11"/>
      <c r="R14" s="5"/>
      <c r="S14" s="10" t="s">
        <v>2</v>
      </c>
      <c r="T14" s="6"/>
    </row>
    <row r="15" spans="1:38" x14ac:dyDescent="0.25">
      <c r="A15" s="6">
        <v>14</v>
      </c>
      <c r="B15" s="7" t="s">
        <v>21</v>
      </c>
      <c r="C15" s="311" t="s">
        <v>13</v>
      </c>
      <c r="D15" s="6" t="s">
        <v>19</v>
      </c>
      <c r="E15" s="6">
        <v>9</v>
      </c>
      <c r="F15" s="121" t="s">
        <v>16</v>
      </c>
      <c r="G15" s="121" t="s">
        <v>11</v>
      </c>
      <c r="H15" s="122" t="s">
        <v>8</v>
      </c>
      <c r="I15" s="122" t="s">
        <v>7</v>
      </c>
      <c r="J15" s="122" t="s">
        <v>40</v>
      </c>
      <c r="K15" s="122" t="s">
        <v>17</v>
      </c>
      <c r="L15" s="122" t="s">
        <v>12</v>
      </c>
      <c r="M15" s="122" t="s">
        <v>66</v>
      </c>
      <c r="N15" s="122" t="s">
        <v>14</v>
      </c>
      <c r="O15" s="122"/>
      <c r="P15" s="6">
        <v>6</v>
      </c>
      <c r="Q15" s="11"/>
      <c r="R15" s="5" t="s">
        <v>2</v>
      </c>
      <c r="S15" s="10"/>
      <c r="T15" s="6">
        <v>2</v>
      </c>
    </row>
    <row r="16" spans="1:38" x14ac:dyDescent="0.25">
      <c r="A16" s="6">
        <v>15</v>
      </c>
      <c r="B16" s="7" t="s">
        <v>21</v>
      </c>
      <c r="C16" s="311" t="s">
        <v>15</v>
      </c>
      <c r="D16" s="6" t="s">
        <v>19</v>
      </c>
      <c r="E16" s="6">
        <v>9</v>
      </c>
      <c r="F16" s="121" t="s">
        <v>8</v>
      </c>
      <c r="G16" s="121" t="s">
        <v>14</v>
      </c>
      <c r="H16" s="122" t="s">
        <v>7</v>
      </c>
      <c r="I16" s="122" t="s">
        <v>40</v>
      </c>
      <c r="J16" s="122" t="s">
        <v>16</v>
      </c>
      <c r="K16" s="122" t="s">
        <v>17</v>
      </c>
      <c r="L16" s="122" t="s">
        <v>12</v>
      </c>
      <c r="M16" s="122" t="s">
        <v>11</v>
      </c>
      <c r="N16" s="122" t="s">
        <v>66</v>
      </c>
      <c r="O16" s="122"/>
      <c r="P16" s="6">
        <v>7</v>
      </c>
      <c r="Q16" s="11" t="s">
        <v>2</v>
      </c>
      <c r="R16" s="5"/>
      <c r="S16" s="10"/>
      <c r="T16" s="6"/>
    </row>
    <row r="17" spans="1:38" x14ac:dyDescent="0.25">
      <c r="A17" s="6">
        <v>16</v>
      </c>
      <c r="B17" s="7" t="s">
        <v>21</v>
      </c>
      <c r="C17" s="9" t="s">
        <v>13</v>
      </c>
      <c r="D17" s="6" t="s">
        <v>19</v>
      </c>
      <c r="E17" s="6">
        <v>9</v>
      </c>
      <c r="F17" s="121" t="s">
        <v>12</v>
      </c>
      <c r="G17" s="121" t="s">
        <v>11</v>
      </c>
      <c r="H17" s="122" t="s">
        <v>8</v>
      </c>
      <c r="I17" s="122" t="s">
        <v>7</v>
      </c>
      <c r="J17" s="122" t="s">
        <v>40</v>
      </c>
      <c r="K17" s="122" t="s">
        <v>16</v>
      </c>
      <c r="L17" s="122" t="s">
        <v>17</v>
      </c>
      <c r="M17" s="122" t="s">
        <v>66</v>
      </c>
      <c r="N17" s="122" t="s">
        <v>14</v>
      </c>
      <c r="O17" s="122"/>
      <c r="P17" s="6">
        <v>7</v>
      </c>
      <c r="Q17" s="11"/>
      <c r="R17" s="5"/>
      <c r="S17" s="10" t="s">
        <v>2</v>
      </c>
      <c r="T17" s="6"/>
    </row>
    <row r="18" spans="1:38" x14ac:dyDescent="0.25">
      <c r="A18" s="6">
        <v>17</v>
      </c>
      <c r="B18" s="7" t="s">
        <v>21</v>
      </c>
      <c r="C18" s="9" t="s">
        <v>13</v>
      </c>
      <c r="D18" s="6" t="s">
        <v>19</v>
      </c>
      <c r="E18" s="6">
        <v>9</v>
      </c>
      <c r="F18" s="121" t="s">
        <v>40</v>
      </c>
      <c r="G18" s="121" t="s">
        <v>66</v>
      </c>
      <c r="H18" s="122" t="s">
        <v>8</v>
      </c>
      <c r="I18" s="122" t="s">
        <v>7</v>
      </c>
      <c r="J18" s="122" t="s">
        <v>16</v>
      </c>
      <c r="K18" s="122" t="s">
        <v>17</v>
      </c>
      <c r="L18" s="122" t="s">
        <v>12</v>
      </c>
      <c r="M18" s="122" t="s">
        <v>11</v>
      </c>
      <c r="N18" s="122" t="s">
        <v>14</v>
      </c>
      <c r="O18" s="122"/>
      <c r="P18" s="6">
        <v>3</v>
      </c>
      <c r="Q18" s="11" t="s">
        <v>2</v>
      </c>
      <c r="R18" s="5"/>
      <c r="S18" s="10"/>
      <c r="T18" s="6"/>
    </row>
    <row r="19" spans="1:38" x14ac:dyDescent="0.25">
      <c r="A19" s="6">
        <v>18</v>
      </c>
      <c r="B19" s="7" t="s">
        <v>21</v>
      </c>
      <c r="C19" s="9" t="s">
        <v>13</v>
      </c>
      <c r="D19" s="6" t="s">
        <v>19</v>
      </c>
      <c r="E19" s="6">
        <v>9</v>
      </c>
      <c r="F19" s="121" t="s">
        <v>8</v>
      </c>
      <c r="G19" s="121" t="s">
        <v>12</v>
      </c>
      <c r="H19" s="122" t="s">
        <v>7</v>
      </c>
      <c r="I19" s="122" t="s">
        <v>40</v>
      </c>
      <c r="J19" s="122" t="s">
        <v>16</v>
      </c>
      <c r="K19" s="122" t="s">
        <v>17</v>
      </c>
      <c r="L19" s="122" t="s">
        <v>11</v>
      </c>
      <c r="M19" s="122" t="s">
        <v>66</v>
      </c>
      <c r="N19" s="122" t="s">
        <v>14</v>
      </c>
      <c r="O19" s="122"/>
      <c r="P19" s="6">
        <v>3</v>
      </c>
      <c r="Q19" s="11" t="s">
        <v>2</v>
      </c>
      <c r="R19" s="5"/>
      <c r="S19" s="10"/>
      <c r="T19" s="6"/>
    </row>
    <row r="20" spans="1:38" x14ac:dyDescent="0.25">
      <c r="A20" s="6">
        <v>19</v>
      </c>
      <c r="B20" s="7" t="s">
        <v>52</v>
      </c>
      <c r="C20" s="9" t="s">
        <v>13</v>
      </c>
      <c r="D20" s="6" t="s">
        <v>22</v>
      </c>
      <c r="E20" s="6">
        <v>10</v>
      </c>
      <c r="F20" s="121" t="s">
        <v>41</v>
      </c>
      <c r="G20" s="121" t="s">
        <v>14</v>
      </c>
      <c r="H20" s="122" t="s">
        <v>8</v>
      </c>
      <c r="I20" s="122" t="s">
        <v>54</v>
      </c>
      <c r="J20" s="122" t="s">
        <v>7</v>
      </c>
      <c r="K20" s="122" t="s">
        <v>16</v>
      </c>
      <c r="L20" s="122" t="s">
        <v>17</v>
      </c>
      <c r="M20" s="122" t="s">
        <v>11</v>
      </c>
      <c r="N20" s="122" t="s">
        <v>12</v>
      </c>
      <c r="O20" s="122" t="s">
        <v>53</v>
      </c>
      <c r="P20" s="2">
        <v>2</v>
      </c>
      <c r="Q20" s="11" t="s">
        <v>2</v>
      </c>
      <c r="R20" s="5"/>
      <c r="S20" s="10"/>
      <c r="T20" s="6"/>
    </row>
    <row r="21" spans="1:38" x14ac:dyDescent="0.25">
      <c r="A21" s="6">
        <v>20</v>
      </c>
      <c r="B21" s="7" t="s">
        <v>52</v>
      </c>
      <c r="C21" s="9" t="s">
        <v>13</v>
      </c>
      <c r="D21" s="6" t="s">
        <v>22</v>
      </c>
      <c r="E21" s="6">
        <v>10</v>
      </c>
      <c r="F21" s="121" t="s">
        <v>8</v>
      </c>
      <c r="G21" s="121" t="s">
        <v>7</v>
      </c>
      <c r="H21" s="122" t="s">
        <v>41</v>
      </c>
      <c r="I21" s="122" t="s">
        <v>54</v>
      </c>
      <c r="J21" s="122" t="s">
        <v>16</v>
      </c>
      <c r="K21" s="122" t="s">
        <v>17</v>
      </c>
      <c r="L21" s="122" t="s">
        <v>11</v>
      </c>
      <c r="M21" s="122" t="s">
        <v>12</v>
      </c>
      <c r="N21" s="122" t="s">
        <v>53</v>
      </c>
      <c r="O21" s="122" t="s">
        <v>14</v>
      </c>
      <c r="P21" s="2">
        <v>2</v>
      </c>
      <c r="Q21" s="11" t="s">
        <v>2</v>
      </c>
      <c r="R21" s="5"/>
      <c r="S21" s="10"/>
      <c r="T21" s="6"/>
    </row>
    <row r="22" spans="1:38" x14ac:dyDescent="0.25">
      <c r="A22" s="6">
        <v>21</v>
      </c>
      <c r="B22" s="7" t="s">
        <v>52</v>
      </c>
      <c r="C22" s="9" t="s">
        <v>13</v>
      </c>
      <c r="D22" s="6" t="s">
        <v>22</v>
      </c>
      <c r="E22" s="6">
        <v>10</v>
      </c>
      <c r="F22" s="121" t="s">
        <v>41</v>
      </c>
      <c r="G22" s="121" t="s">
        <v>17</v>
      </c>
      <c r="H22" s="122" t="s">
        <v>54</v>
      </c>
      <c r="I22" s="122" t="s">
        <v>7</v>
      </c>
      <c r="J22" s="122" t="s">
        <v>16</v>
      </c>
      <c r="K22" s="122" t="s">
        <v>11</v>
      </c>
      <c r="L22" s="122" t="s">
        <v>66</v>
      </c>
      <c r="M22" s="122" t="s">
        <v>12</v>
      </c>
      <c r="N22" s="122" t="s">
        <v>53</v>
      </c>
      <c r="O22" s="122" t="s">
        <v>14</v>
      </c>
      <c r="P22" s="2">
        <v>3</v>
      </c>
      <c r="Q22" s="11"/>
      <c r="R22" s="5"/>
      <c r="S22" s="10" t="s">
        <v>2</v>
      </c>
      <c r="T22" s="6"/>
    </row>
    <row r="23" spans="1:38" x14ac:dyDescent="0.25">
      <c r="A23" s="6">
        <v>22</v>
      </c>
      <c r="B23" s="7" t="s">
        <v>52</v>
      </c>
      <c r="C23" s="2" t="s">
        <v>15</v>
      </c>
      <c r="D23" s="6" t="s">
        <v>22</v>
      </c>
      <c r="E23" s="6">
        <v>10</v>
      </c>
      <c r="F23" s="121" t="s">
        <v>7</v>
      </c>
      <c r="G23" s="121" t="s">
        <v>11</v>
      </c>
      <c r="H23" s="122" t="s">
        <v>8</v>
      </c>
      <c r="I23" s="122" t="s">
        <v>54</v>
      </c>
      <c r="J23" s="122" t="s">
        <v>41</v>
      </c>
      <c r="K23" s="122" t="s">
        <v>16</v>
      </c>
      <c r="L23" s="122" t="s">
        <v>17</v>
      </c>
      <c r="M23" s="122" t="s">
        <v>66</v>
      </c>
      <c r="N23" s="122" t="s">
        <v>53</v>
      </c>
      <c r="O23" s="122" t="s">
        <v>14</v>
      </c>
      <c r="P23" s="2">
        <v>9</v>
      </c>
      <c r="Q23" s="11"/>
      <c r="R23" s="5"/>
      <c r="S23" s="10" t="s">
        <v>2</v>
      </c>
      <c r="T23" s="6"/>
    </row>
    <row r="24" spans="1:38" x14ac:dyDescent="0.25">
      <c r="A24" s="6">
        <v>23</v>
      </c>
      <c r="B24" s="7" t="s">
        <v>52</v>
      </c>
      <c r="C24" s="2" t="s">
        <v>15</v>
      </c>
      <c r="D24" s="6" t="s">
        <v>22</v>
      </c>
      <c r="E24" s="6">
        <v>10</v>
      </c>
      <c r="F24" s="121" t="s">
        <v>41</v>
      </c>
      <c r="G24" s="121" t="s">
        <v>16</v>
      </c>
      <c r="H24" s="122" t="s">
        <v>8</v>
      </c>
      <c r="I24" s="122" t="s">
        <v>54</v>
      </c>
      <c r="J24" s="122" t="s">
        <v>7</v>
      </c>
      <c r="K24" s="122" t="s">
        <v>17</v>
      </c>
      <c r="L24" s="122" t="s">
        <v>11</v>
      </c>
      <c r="M24" s="122" t="s">
        <v>66</v>
      </c>
      <c r="N24" s="122" t="s">
        <v>53</v>
      </c>
      <c r="O24" s="122" t="s">
        <v>14</v>
      </c>
      <c r="P24" s="2">
        <v>6</v>
      </c>
      <c r="Q24" s="11"/>
      <c r="R24" s="5" t="s">
        <v>2</v>
      </c>
      <c r="S24" s="10"/>
      <c r="T24" s="6">
        <v>2</v>
      </c>
    </row>
    <row r="25" spans="1:38" x14ac:dyDescent="0.25">
      <c r="A25" s="6">
        <v>24</v>
      </c>
      <c r="B25" s="7" t="s">
        <v>52</v>
      </c>
      <c r="C25" s="2" t="s">
        <v>13</v>
      </c>
      <c r="D25" s="6" t="s">
        <v>22</v>
      </c>
      <c r="E25" s="6">
        <v>10</v>
      </c>
      <c r="F25" s="121" t="s">
        <v>8</v>
      </c>
      <c r="G25" s="121" t="s">
        <v>12</v>
      </c>
      <c r="H25" s="122" t="s">
        <v>54</v>
      </c>
      <c r="I25" s="122" t="s">
        <v>7</v>
      </c>
      <c r="J25" s="122" t="s">
        <v>41</v>
      </c>
      <c r="K25" s="122" t="s">
        <v>16</v>
      </c>
      <c r="L25" s="122" t="s">
        <v>17</v>
      </c>
      <c r="M25" s="122" t="s">
        <v>11</v>
      </c>
      <c r="N25" s="122" t="s">
        <v>66</v>
      </c>
      <c r="O25" s="122" t="s">
        <v>14</v>
      </c>
      <c r="P25" s="2">
        <v>4</v>
      </c>
      <c r="Q25" s="11" t="s">
        <v>2</v>
      </c>
      <c r="R25" s="5"/>
      <c r="S25" s="10"/>
      <c r="T25" s="6"/>
    </row>
    <row r="26" spans="1:38" x14ac:dyDescent="0.25">
      <c r="A26" s="6">
        <v>25</v>
      </c>
      <c r="B26" s="7" t="s">
        <v>52</v>
      </c>
      <c r="C26" s="2" t="s">
        <v>13</v>
      </c>
      <c r="D26" s="6" t="s">
        <v>19</v>
      </c>
      <c r="E26" s="6">
        <v>9</v>
      </c>
      <c r="F26" s="121" t="s">
        <v>7</v>
      </c>
      <c r="G26" s="121" t="s">
        <v>17</v>
      </c>
      <c r="H26" s="122" t="s">
        <v>8</v>
      </c>
      <c r="I26" s="122" t="s">
        <v>54</v>
      </c>
      <c r="J26" s="122" t="s">
        <v>41</v>
      </c>
      <c r="K26" s="122" t="s">
        <v>16</v>
      </c>
      <c r="L26" s="122" t="s">
        <v>11</v>
      </c>
      <c r="M26" s="122" t="s">
        <v>66</v>
      </c>
      <c r="N26" s="122" t="s">
        <v>14</v>
      </c>
      <c r="O26" s="122"/>
      <c r="P26" s="2">
        <v>8</v>
      </c>
      <c r="Q26" s="11"/>
      <c r="R26" s="5"/>
      <c r="S26" s="10" t="s">
        <v>2</v>
      </c>
      <c r="T26" s="6"/>
    </row>
    <row r="27" spans="1:38" x14ac:dyDescent="0.25">
      <c r="A27" s="6">
        <v>26</v>
      </c>
      <c r="B27" s="7" t="s">
        <v>52</v>
      </c>
      <c r="C27" s="2" t="s">
        <v>13</v>
      </c>
      <c r="D27" s="6" t="s">
        <v>19</v>
      </c>
      <c r="E27" s="6">
        <v>10</v>
      </c>
      <c r="F27" s="121" t="s">
        <v>54</v>
      </c>
      <c r="G27" s="121" t="s">
        <v>16</v>
      </c>
      <c r="H27" s="122" t="s">
        <v>8</v>
      </c>
      <c r="I27" s="122" t="s">
        <v>7</v>
      </c>
      <c r="J27" s="122" t="s">
        <v>41</v>
      </c>
      <c r="K27" s="122" t="s">
        <v>17</v>
      </c>
      <c r="L27" s="122" t="s">
        <v>55</v>
      </c>
      <c r="M27" s="122" t="s">
        <v>11</v>
      </c>
      <c r="N27" s="122" t="s">
        <v>66</v>
      </c>
      <c r="O27" s="122" t="s">
        <v>14</v>
      </c>
      <c r="P27" s="2">
        <v>4</v>
      </c>
      <c r="Q27" s="11"/>
      <c r="R27" s="5" t="s">
        <v>2</v>
      </c>
      <c r="S27" s="10"/>
      <c r="T27" s="6">
        <v>2</v>
      </c>
    </row>
    <row r="28" spans="1:38" x14ac:dyDescent="0.25">
      <c r="A28" s="6">
        <v>27</v>
      </c>
      <c r="B28" s="7" t="s">
        <v>52</v>
      </c>
      <c r="C28" s="2" t="s">
        <v>13</v>
      </c>
      <c r="D28" s="6" t="s">
        <v>19</v>
      </c>
      <c r="E28" s="6">
        <v>10</v>
      </c>
      <c r="F28" s="121" t="s">
        <v>8</v>
      </c>
      <c r="G28" s="121" t="s">
        <v>55</v>
      </c>
      <c r="H28" s="122" t="s">
        <v>54</v>
      </c>
      <c r="I28" s="122" t="s">
        <v>7</v>
      </c>
      <c r="J28" s="122" t="s">
        <v>41</v>
      </c>
      <c r="K28" s="122" t="s">
        <v>16</v>
      </c>
      <c r="L28" s="122" t="s">
        <v>17</v>
      </c>
      <c r="M28" s="122" t="s">
        <v>11</v>
      </c>
      <c r="N28" s="122" t="s">
        <v>66</v>
      </c>
      <c r="O28" s="122" t="s">
        <v>14</v>
      </c>
      <c r="P28" s="2">
        <v>10</v>
      </c>
      <c r="Q28" s="11"/>
      <c r="R28" s="5"/>
      <c r="S28" s="10" t="s">
        <v>2</v>
      </c>
      <c r="T28" s="6"/>
      <c r="AJ28" s="216"/>
      <c r="AK28" s="216"/>
      <c r="AL28" s="216"/>
    </row>
    <row r="29" spans="1:38" x14ac:dyDescent="0.25">
      <c r="A29" s="6">
        <v>28</v>
      </c>
      <c r="B29" s="7" t="s">
        <v>52</v>
      </c>
      <c r="C29" s="2" t="s">
        <v>15</v>
      </c>
      <c r="D29" s="6" t="s">
        <v>19</v>
      </c>
      <c r="E29" s="6">
        <v>10</v>
      </c>
      <c r="F29" s="121" t="s">
        <v>41</v>
      </c>
      <c r="G29" s="121" t="s">
        <v>55</v>
      </c>
      <c r="H29" s="122" t="s">
        <v>8</v>
      </c>
      <c r="I29" s="122" t="s">
        <v>54</v>
      </c>
      <c r="J29" s="122" t="s">
        <v>7</v>
      </c>
      <c r="K29" s="122" t="s">
        <v>16</v>
      </c>
      <c r="L29" s="122" t="s">
        <v>17</v>
      </c>
      <c r="M29" s="122" t="s">
        <v>11</v>
      </c>
      <c r="N29" s="122" t="s">
        <v>66</v>
      </c>
      <c r="O29" s="122" t="s">
        <v>14</v>
      </c>
      <c r="P29" s="2">
        <v>6</v>
      </c>
      <c r="Q29" s="11"/>
      <c r="R29" s="311"/>
      <c r="S29" s="10" t="s">
        <v>2</v>
      </c>
      <c r="T29" s="6"/>
      <c r="AJ29" s="216"/>
      <c r="AK29" s="216"/>
      <c r="AL29" s="216"/>
    </row>
    <row r="30" spans="1:38" x14ac:dyDescent="0.25">
      <c r="A30" s="6">
        <v>29</v>
      </c>
      <c r="B30" s="7" t="s">
        <v>52</v>
      </c>
      <c r="C30" s="2" t="s">
        <v>13</v>
      </c>
      <c r="D30" s="6" t="s">
        <v>24</v>
      </c>
      <c r="E30" s="6">
        <v>9</v>
      </c>
      <c r="F30" s="121" t="s">
        <v>16</v>
      </c>
      <c r="G30" s="121" t="s">
        <v>55</v>
      </c>
      <c r="H30" s="122" t="s">
        <v>8</v>
      </c>
      <c r="I30" s="122" t="s">
        <v>41</v>
      </c>
      <c r="J30" s="122" t="s">
        <v>7</v>
      </c>
      <c r="K30" s="122" t="s">
        <v>17</v>
      </c>
      <c r="L30" s="122" t="s">
        <v>11</v>
      </c>
      <c r="M30" s="122" t="s">
        <v>66</v>
      </c>
      <c r="N30" s="122" t="s">
        <v>14</v>
      </c>
      <c r="O30" s="122"/>
      <c r="P30" s="2">
        <v>3</v>
      </c>
      <c r="Q30" s="11"/>
      <c r="R30" s="311" t="s">
        <v>2</v>
      </c>
      <c r="S30" s="10"/>
      <c r="T30" s="6">
        <v>4</v>
      </c>
      <c r="AJ30" s="216"/>
      <c r="AK30" s="216"/>
      <c r="AL30" s="216"/>
    </row>
    <row r="31" spans="1:38" x14ac:dyDescent="0.25">
      <c r="A31" s="6">
        <v>30</v>
      </c>
      <c r="B31" s="7" t="s">
        <v>52</v>
      </c>
      <c r="C31" s="2" t="s">
        <v>15</v>
      </c>
      <c r="D31" s="6" t="s">
        <v>24</v>
      </c>
      <c r="E31" s="6">
        <v>9</v>
      </c>
      <c r="F31" s="121" t="s">
        <v>7</v>
      </c>
      <c r="G31" s="121" t="s">
        <v>16</v>
      </c>
      <c r="H31" s="122" t="s">
        <v>8</v>
      </c>
      <c r="I31" s="122" t="s">
        <v>41</v>
      </c>
      <c r="J31" s="122" t="s">
        <v>55</v>
      </c>
      <c r="K31" s="122" t="s">
        <v>17</v>
      </c>
      <c r="L31" s="122" t="s">
        <v>11</v>
      </c>
      <c r="M31" s="122" t="s">
        <v>66</v>
      </c>
      <c r="N31" s="122" t="s">
        <v>14</v>
      </c>
      <c r="O31" s="122"/>
      <c r="P31" s="2">
        <v>2</v>
      </c>
      <c r="Q31" s="11" t="s">
        <v>2</v>
      </c>
      <c r="R31" s="311"/>
      <c r="S31" s="10"/>
      <c r="T31" s="6">
        <v>4</v>
      </c>
      <c r="AJ31" s="216"/>
      <c r="AK31" s="216"/>
      <c r="AL31" s="216"/>
    </row>
    <row r="32" spans="1:38" x14ac:dyDescent="0.25">
      <c r="A32" s="6">
        <v>31</v>
      </c>
      <c r="B32" s="7" t="s">
        <v>52</v>
      </c>
      <c r="C32" s="2" t="s">
        <v>15</v>
      </c>
      <c r="D32" s="6" t="s">
        <v>24</v>
      </c>
      <c r="E32" s="6">
        <v>9</v>
      </c>
      <c r="F32" s="121" t="s">
        <v>7</v>
      </c>
      <c r="G32" s="121" t="s">
        <v>16</v>
      </c>
      <c r="H32" s="122" t="s">
        <v>8</v>
      </c>
      <c r="I32" s="122" t="s">
        <v>55</v>
      </c>
      <c r="J32" s="122" t="s">
        <v>17</v>
      </c>
      <c r="K32" s="122" t="s">
        <v>12</v>
      </c>
      <c r="L32" s="122" t="s">
        <v>11</v>
      </c>
      <c r="M32" s="122" t="s">
        <v>66</v>
      </c>
      <c r="N32" s="122" t="s">
        <v>14</v>
      </c>
      <c r="O32" s="122"/>
      <c r="P32" s="2">
        <v>6</v>
      </c>
      <c r="Q32" s="11"/>
      <c r="R32" s="5" t="s">
        <v>2</v>
      </c>
      <c r="S32" s="10"/>
      <c r="T32" s="6">
        <v>2</v>
      </c>
      <c r="AJ32" s="216"/>
      <c r="AK32" s="216"/>
      <c r="AL32" s="216"/>
    </row>
    <row r="33" spans="1:20" x14ac:dyDescent="0.25">
      <c r="A33" s="6">
        <v>32</v>
      </c>
      <c r="B33" s="7" t="s">
        <v>67</v>
      </c>
      <c r="C33" s="2" t="s">
        <v>15</v>
      </c>
      <c r="D33" s="6" t="s">
        <v>22</v>
      </c>
      <c r="E33" s="6">
        <v>9</v>
      </c>
      <c r="F33" s="121" t="s">
        <v>11</v>
      </c>
      <c r="G33" s="121" t="s">
        <v>14</v>
      </c>
      <c r="H33" s="122" t="s">
        <v>69</v>
      </c>
      <c r="I33" s="122" t="s">
        <v>54</v>
      </c>
      <c r="J33" s="122" t="s">
        <v>7</v>
      </c>
      <c r="K33" s="122" t="s">
        <v>68</v>
      </c>
      <c r="L33" s="122" t="s">
        <v>41</v>
      </c>
      <c r="M33" s="122" t="s">
        <v>16</v>
      </c>
      <c r="N33" s="122" t="s">
        <v>17</v>
      </c>
      <c r="O33" s="122"/>
      <c r="P33" s="2">
        <v>9</v>
      </c>
      <c r="Q33" s="11"/>
      <c r="R33" s="5"/>
      <c r="S33" s="10" t="s">
        <v>2</v>
      </c>
      <c r="T33" s="6"/>
    </row>
    <row r="34" spans="1:20" x14ac:dyDescent="0.25">
      <c r="A34" s="6">
        <v>33</v>
      </c>
      <c r="B34" s="7" t="s">
        <v>67</v>
      </c>
      <c r="C34" s="2" t="s">
        <v>13</v>
      </c>
      <c r="D34" s="6" t="s">
        <v>22</v>
      </c>
      <c r="E34" s="6">
        <v>9</v>
      </c>
      <c r="F34" s="121" t="s">
        <v>7</v>
      </c>
      <c r="G34" s="121" t="s">
        <v>17</v>
      </c>
      <c r="H34" s="122" t="s">
        <v>69</v>
      </c>
      <c r="I34" s="122" t="s">
        <v>54</v>
      </c>
      <c r="J34" s="122" t="s">
        <v>68</v>
      </c>
      <c r="K34" s="122" t="s">
        <v>41</v>
      </c>
      <c r="L34" s="122" t="s">
        <v>16</v>
      </c>
      <c r="M34" s="122" t="s">
        <v>11</v>
      </c>
      <c r="N34" s="122" t="s">
        <v>14</v>
      </c>
      <c r="O34" s="122"/>
      <c r="P34" s="2">
        <v>3</v>
      </c>
      <c r="Q34" s="11" t="s">
        <v>2</v>
      </c>
      <c r="R34" s="5"/>
      <c r="S34" s="10"/>
      <c r="T34" s="6"/>
    </row>
    <row r="35" spans="1:20" x14ac:dyDescent="0.25">
      <c r="A35" s="6">
        <v>34</v>
      </c>
      <c r="B35" s="7" t="s">
        <v>67</v>
      </c>
      <c r="C35" s="2" t="s">
        <v>15</v>
      </c>
      <c r="D35" s="6" t="s">
        <v>22</v>
      </c>
      <c r="E35" s="6">
        <v>9</v>
      </c>
      <c r="F35" s="121" t="s">
        <v>54</v>
      </c>
      <c r="G35" s="121" t="s">
        <v>16</v>
      </c>
      <c r="H35" s="122" t="s">
        <v>69</v>
      </c>
      <c r="I35" s="122" t="s">
        <v>7</v>
      </c>
      <c r="J35" s="122" t="s">
        <v>68</v>
      </c>
      <c r="K35" s="122" t="s">
        <v>41</v>
      </c>
      <c r="L35" s="122" t="s">
        <v>17</v>
      </c>
      <c r="M35" s="122" t="s">
        <v>11</v>
      </c>
      <c r="N35" s="122" t="s">
        <v>14</v>
      </c>
      <c r="O35" s="122"/>
      <c r="P35" s="2">
        <v>4</v>
      </c>
      <c r="Q35" s="11" t="s">
        <v>2</v>
      </c>
      <c r="R35" s="5"/>
      <c r="S35" s="10"/>
      <c r="T35" s="6">
        <v>3</v>
      </c>
    </row>
    <row r="36" spans="1:20" x14ac:dyDescent="0.25">
      <c r="A36" s="6">
        <v>35</v>
      </c>
      <c r="B36" s="7" t="s">
        <v>67</v>
      </c>
      <c r="C36" s="2" t="s">
        <v>13</v>
      </c>
      <c r="D36" s="6" t="s">
        <v>22</v>
      </c>
      <c r="E36" s="6">
        <v>9</v>
      </c>
      <c r="F36" s="121" t="s">
        <v>68</v>
      </c>
      <c r="G36" s="121" t="s">
        <v>17</v>
      </c>
      <c r="H36" s="122" t="s">
        <v>69</v>
      </c>
      <c r="I36" s="122" t="s">
        <v>54</v>
      </c>
      <c r="J36" s="122" t="s">
        <v>7</v>
      </c>
      <c r="K36" s="122" t="s">
        <v>41</v>
      </c>
      <c r="L36" s="122" t="s">
        <v>16</v>
      </c>
      <c r="M36" s="122" t="s">
        <v>11</v>
      </c>
      <c r="N36" s="122" t="s">
        <v>14</v>
      </c>
      <c r="O36" s="122"/>
      <c r="P36" s="2">
        <v>5</v>
      </c>
      <c r="Q36" s="11" t="s">
        <v>2</v>
      </c>
      <c r="R36" s="5"/>
      <c r="S36" s="10"/>
      <c r="T36" s="6"/>
    </row>
    <row r="37" spans="1:20" x14ac:dyDescent="0.25">
      <c r="A37" s="6">
        <v>36</v>
      </c>
      <c r="B37" s="7" t="s">
        <v>67</v>
      </c>
      <c r="C37" s="2" t="s">
        <v>13</v>
      </c>
      <c r="D37" s="6" t="s">
        <v>22</v>
      </c>
      <c r="E37" s="6">
        <v>9</v>
      </c>
      <c r="F37" s="121" t="s">
        <v>54</v>
      </c>
      <c r="G37" s="121" t="s">
        <v>16</v>
      </c>
      <c r="H37" s="122" t="s">
        <v>69</v>
      </c>
      <c r="I37" s="122" t="s">
        <v>7</v>
      </c>
      <c r="J37" s="122" t="s">
        <v>68</v>
      </c>
      <c r="K37" s="122" t="s">
        <v>41</v>
      </c>
      <c r="L37" s="122" t="s">
        <v>17</v>
      </c>
      <c r="M37" s="122" t="s">
        <v>11</v>
      </c>
      <c r="N37" s="122" t="s">
        <v>14</v>
      </c>
      <c r="O37" s="122"/>
      <c r="P37" s="2">
        <v>8</v>
      </c>
      <c r="Q37" s="11"/>
      <c r="R37" s="5" t="s">
        <v>2</v>
      </c>
      <c r="S37" s="10"/>
      <c r="T37" s="6">
        <v>1</v>
      </c>
    </row>
    <row r="38" spans="1:20" x14ac:dyDescent="0.25">
      <c r="A38" s="6">
        <v>37</v>
      </c>
      <c r="B38" s="7" t="s">
        <v>67</v>
      </c>
      <c r="C38" s="2" t="s">
        <v>15</v>
      </c>
      <c r="D38" s="6" t="s">
        <v>22</v>
      </c>
      <c r="E38" s="6">
        <v>9</v>
      </c>
      <c r="F38" s="121" t="s">
        <v>7</v>
      </c>
      <c r="G38" s="121" t="s">
        <v>16</v>
      </c>
      <c r="H38" s="122" t="s">
        <v>69</v>
      </c>
      <c r="I38" s="122" t="s">
        <v>54</v>
      </c>
      <c r="J38" s="122" t="s">
        <v>68</v>
      </c>
      <c r="K38" s="122" t="s">
        <v>41</v>
      </c>
      <c r="L38" s="122" t="s">
        <v>17</v>
      </c>
      <c r="M38" s="122" t="s">
        <v>11</v>
      </c>
      <c r="N38" s="122" t="s">
        <v>14</v>
      </c>
      <c r="O38" s="122"/>
      <c r="P38" s="2">
        <v>6</v>
      </c>
      <c r="Q38" s="11"/>
      <c r="R38" s="5" t="s">
        <v>2</v>
      </c>
      <c r="S38" s="10"/>
      <c r="T38" s="6">
        <v>2</v>
      </c>
    </row>
    <row r="39" spans="1:20" x14ac:dyDescent="0.25">
      <c r="A39" s="6">
        <v>38</v>
      </c>
      <c r="B39" s="7" t="s">
        <v>67</v>
      </c>
      <c r="C39" s="2" t="s">
        <v>13</v>
      </c>
      <c r="D39" s="6" t="s">
        <v>22</v>
      </c>
      <c r="E39" s="6">
        <v>9</v>
      </c>
      <c r="F39" s="121" t="s">
        <v>41</v>
      </c>
      <c r="G39" s="121" t="s">
        <v>16</v>
      </c>
      <c r="H39" s="122" t="s">
        <v>69</v>
      </c>
      <c r="I39" s="122" t="s">
        <v>54</v>
      </c>
      <c r="J39" s="122" t="s">
        <v>7</v>
      </c>
      <c r="K39" s="122" t="s">
        <v>68</v>
      </c>
      <c r="L39" s="122" t="s">
        <v>17</v>
      </c>
      <c r="M39" s="122" t="s">
        <v>11</v>
      </c>
      <c r="N39" s="122" t="s">
        <v>14</v>
      </c>
      <c r="O39" s="122"/>
      <c r="P39" s="2">
        <v>4</v>
      </c>
      <c r="Q39" s="11" t="s">
        <v>2</v>
      </c>
      <c r="R39" s="311"/>
      <c r="S39" s="10"/>
      <c r="T39" s="6">
        <v>3</v>
      </c>
    </row>
    <row r="40" spans="1:20" x14ac:dyDescent="0.25">
      <c r="A40" s="6">
        <v>39</v>
      </c>
      <c r="B40" s="7" t="s">
        <v>67</v>
      </c>
      <c r="C40" s="2" t="s">
        <v>13</v>
      </c>
      <c r="D40" s="6" t="s">
        <v>22</v>
      </c>
      <c r="E40" s="6">
        <v>9</v>
      </c>
      <c r="F40" s="121" t="s">
        <v>7</v>
      </c>
      <c r="G40" s="121" t="s">
        <v>41</v>
      </c>
      <c r="H40" s="122" t="s">
        <v>69</v>
      </c>
      <c r="I40" s="122" t="s">
        <v>54</v>
      </c>
      <c r="J40" s="122" t="s">
        <v>68</v>
      </c>
      <c r="K40" s="122" t="s">
        <v>16</v>
      </c>
      <c r="L40" s="122" t="s">
        <v>17</v>
      </c>
      <c r="M40" s="122" t="s">
        <v>11</v>
      </c>
      <c r="N40" s="122" t="s">
        <v>14</v>
      </c>
      <c r="O40" s="122"/>
      <c r="P40" s="2">
        <v>8</v>
      </c>
      <c r="Q40" s="11"/>
      <c r="R40" s="311"/>
      <c r="S40" s="10" t="s">
        <v>2</v>
      </c>
      <c r="T40" s="6"/>
    </row>
    <row r="41" spans="1:20" x14ac:dyDescent="0.25">
      <c r="A41" s="6">
        <v>40</v>
      </c>
      <c r="B41" s="7" t="s">
        <v>67</v>
      </c>
      <c r="C41" s="2" t="s">
        <v>15</v>
      </c>
      <c r="D41" s="6" t="s">
        <v>24</v>
      </c>
      <c r="E41" s="6">
        <v>9</v>
      </c>
      <c r="F41" s="121" t="s">
        <v>40</v>
      </c>
      <c r="G41" s="121" t="s">
        <v>16</v>
      </c>
      <c r="H41" s="122" t="s">
        <v>7</v>
      </c>
      <c r="I41" s="122" t="s">
        <v>41</v>
      </c>
      <c r="J41" s="122" t="s">
        <v>70</v>
      </c>
      <c r="K41" s="122" t="s">
        <v>71</v>
      </c>
      <c r="L41" s="122" t="s">
        <v>11</v>
      </c>
      <c r="M41" s="122" t="s">
        <v>66</v>
      </c>
      <c r="N41" s="122" t="s">
        <v>14</v>
      </c>
      <c r="O41" s="122"/>
      <c r="P41" s="2">
        <v>6</v>
      </c>
      <c r="Q41" s="11"/>
      <c r="R41" s="311" t="s">
        <v>2</v>
      </c>
      <c r="S41" s="10"/>
      <c r="T41" s="6">
        <v>3</v>
      </c>
    </row>
    <row r="42" spans="1:20" x14ac:dyDescent="0.25">
      <c r="A42" s="6">
        <v>41</v>
      </c>
      <c r="B42" s="7" t="s">
        <v>67</v>
      </c>
      <c r="C42" s="2" t="s">
        <v>13</v>
      </c>
      <c r="D42" s="6" t="s">
        <v>24</v>
      </c>
      <c r="E42" s="6">
        <v>9</v>
      </c>
      <c r="F42" s="121" t="s">
        <v>41</v>
      </c>
      <c r="G42" s="121" t="s">
        <v>11</v>
      </c>
      <c r="H42" s="122" t="s">
        <v>7</v>
      </c>
      <c r="I42" s="122" t="s">
        <v>70</v>
      </c>
      <c r="J42" s="122" t="s">
        <v>71</v>
      </c>
      <c r="K42" s="122" t="s">
        <v>40</v>
      </c>
      <c r="L42" s="122" t="s">
        <v>16</v>
      </c>
      <c r="M42" s="122" t="s">
        <v>66</v>
      </c>
      <c r="N42" s="122" t="s">
        <v>14</v>
      </c>
      <c r="O42" s="122"/>
      <c r="P42" s="2">
        <v>4</v>
      </c>
      <c r="Q42" s="11"/>
      <c r="R42" s="311"/>
      <c r="S42" s="10" t="s">
        <v>2</v>
      </c>
      <c r="T42" s="6"/>
    </row>
    <row r="43" spans="1:20" x14ac:dyDescent="0.25">
      <c r="A43" s="6">
        <v>42</v>
      </c>
      <c r="B43" s="7" t="s">
        <v>67</v>
      </c>
      <c r="C43" s="2" t="s">
        <v>15</v>
      </c>
      <c r="D43" s="6" t="s">
        <v>24</v>
      </c>
      <c r="E43" s="6">
        <v>10</v>
      </c>
      <c r="F43" s="121" t="s">
        <v>16</v>
      </c>
      <c r="G43" s="121" t="s">
        <v>12</v>
      </c>
      <c r="H43" s="122" t="s">
        <v>7</v>
      </c>
      <c r="I43" s="122" t="s">
        <v>41</v>
      </c>
      <c r="J43" s="122" t="s">
        <v>70</v>
      </c>
      <c r="K43" s="122" t="s">
        <v>71</v>
      </c>
      <c r="L43" s="122" t="s">
        <v>40</v>
      </c>
      <c r="M43" s="122" t="s">
        <v>11</v>
      </c>
      <c r="N43" s="122" t="s">
        <v>66</v>
      </c>
      <c r="O43" s="122" t="s">
        <v>14</v>
      </c>
      <c r="P43" s="2">
        <v>4</v>
      </c>
      <c r="Q43" s="11" t="s">
        <v>2</v>
      </c>
      <c r="R43" s="311"/>
      <c r="S43" s="10"/>
      <c r="T43" s="6">
        <v>4</v>
      </c>
    </row>
    <row r="44" spans="1:20" x14ac:dyDescent="0.25">
      <c r="A44" s="6">
        <v>43</v>
      </c>
      <c r="B44" s="7" t="s">
        <v>67</v>
      </c>
      <c r="C44" s="2" t="s">
        <v>13</v>
      </c>
      <c r="D44" s="6" t="s">
        <v>22</v>
      </c>
      <c r="E44" s="6">
        <v>10</v>
      </c>
      <c r="F44" s="121" t="s">
        <v>70</v>
      </c>
      <c r="G44" s="121" t="s">
        <v>12</v>
      </c>
      <c r="H44" s="122" t="s">
        <v>7</v>
      </c>
      <c r="I44" s="122" t="s">
        <v>41</v>
      </c>
      <c r="J44" s="122" t="s">
        <v>71</v>
      </c>
      <c r="K44" s="122" t="s">
        <v>40</v>
      </c>
      <c r="L44" s="122" t="s">
        <v>16</v>
      </c>
      <c r="M44" s="122" t="s">
        <v>11</v>
      </c>
      <c r="N44" s="122" t="s">
        <v>66</v>
      </c>
      <c r="O44" s="122" t="s">
        <v>14</v>
      </c>
      <c r="P44" s="2">
        <v>8</v>
      </c>
      <c r="Q44" s="11" t="s">
        <v>2</v>
      </c>
      <c r="R44" s="5"/>
      <c r="S44" s="10"/>
      <c r="T44" s="6"/>
    </row>
    <row r="45" spans="1:20" x14ac:dyDescent="0.25">
      <c r="A45" s="6">
        <v>44</v>
      </c>
      <c r="B45" s="7" t="s">
        <v>67</v>
      </c>
      <c r="C45" s="2" t="s">
        <v>15</v>
      </c>
      <c r="D45" s="6" t="s">
        <v>22</v>
      </c>
      <c r="E45" s="6">
        <v>10</v>
      </c>
      <c r="F45" s="121" t="s">
        <v>7</v>
      </c>
      <c r="G45" s="121" t="s">
        <v>11</v>
      </c>
      <c r="H45" s="122" t="s">
        <v>41</v>
      </c>
      <c r="I45" s="122" t="s">
        <v>70</v>
      </c>
      <c r="J45" s="122" t="s">
        <v>71</v>
      </c>
      <c r="K45" s="122" t="s">
        <v>40</v>
      </c>
      <c r="L45" s="122" t="s">
        <v>16</v>
      </c>
      <c r="M45" s="122" t="s">
        <v>12</v>
      </c>
      <c r="N45" s="122" t="s">
        <v>66</v>
      </c>
      <c r="O45" s="122" t="s">
        <v>14</v>
      </c>
      <c r="P45" s="2">
        <v>3</v>
      </c>
      <c r="Q45" s="11"/>
      <c r="R45" s="5" t="s">
        <v>2</v>
      </c>
      <c r="S45" s="10"/>
      <c r="T45" s="6"/>
    </row>
    <row r="46" spans="1:20" x14ac:dyDescent="0.25">
      <c r="A46" s="6">
        <v>45</v>
      </c>
      <c r="B46" s="7" t="s">
        <v>67</v>
      </c>
      <c r="C46" s="2" t="s">
        <v>13</v>
      </c>
      <c r="D46" s="6" t="s">
        <v>22</v>
      </c>
      <c r="E46" s="6">
        <v>9</v>
      </c>
      <c r="F46" s="121" t="s">
        <v>11</v>
      </c>
      <c r="G46" s="121" t="s">
        <v>66</v>
      </c>
      <c r="H46" s="122" t="s">
        <v>7</v>
      </c>
      <c r="I46" s="122" t="s">
        <v>41</v>
      </c>
      <c r="J46" s="122" t="s">
        <v>71</v>
      </c>
      <c r="K46" s="122" t="s">
        <v>40</v>
      </c>
      <c r="L46" s="122" t="s">
        <v>16</v>
      </c>
      <c r="M46" s="122" t="s">
        <v>12</v>
      </c>
      <c r="N46" s="122" t="s">
        <v>14</v>
      </c>
      <c r="O46" s="122"/>
      <c r="P46" s="2">
        <v>7</v>
      </c>
      <c r="Q46" s="11"/>
      <c r="R46" s="5" t="s">
        <v>2</v>
      </c>
      <c r="S46" s="10"/>
      <c r="T46" s="6"/>
    </row>
    <row r="47" spans="1:20" x14ac:dyDescent="0.25">
      <c r="A47" s="6">
        <v>46</v>
      </c>
      <c r="B47" s="7" t="s">
        <v>67</v>
      </c>
      <c r="C47" s="2" t="s">
        <v>13</v>
      </c>
      <c r="D47" s="6" t="s">
        <v>22</v>
      </c>
      <c r="E47" s="6">
        <v>9</v>
      </c>
      <c r="F47" s="121" t="s">
        <v>16</v>
      </c>
      <c r="G47" s="121" t="s">
        <v>12</v>
      </c>
      <c r="H47" s="122" t="s">
        <v>7</v>
      </c>
      <c r="I47" s="122" t="s">
        <v>41</v>
      </c>
      <c r="J47" s="122" t="s">
        <v>71</v>
      </c>
      <c r="K47" s="122" t="s">
        <v>40</v>
      </c>
      <c r="L47" s="122" t="s">
        <v>11</v>
      </c>
      <c r="M47" s="122" t="s">
        <v>66</v>
      </c>
      <c r="N47" s="122" t="s">
        <v>14</v>
      </c>
      <c r="O47" s="122"/>
      <c r="P47" s="2">
        <v>6</v>
      </c>
      <c r="Q47" s="11"/>
      <c r="R47" s="311" t="s">
        <v>2</v>
      </c>
      <c r="S47" s="10"/>
      <c r="T47" s="6">
        <v>2</v>
      </c>
    </row>
    <row r="48" spans="1:20" x14ac:dyDescent="0.25">
      <c r="A48" s="6">
        <v>47</v>
      </c>
      <c r="B48" s="7" t="s">
        <v>67</v>
      </c>
      <c r="C48" s="2" t="s">
        <v>15</v>
      </c>
      <c r="D48" s="6" t="s">
        <v>22</v>
      </c>
      <c r="E48" s="6">
        <v>9</v>
      </c>
      <c r="F48" s="121" t="s">
        <v>41</v>
      </c>
      <c r="G48" s="121" t="s">
        <v>12</v>
      </c>
      <c r="H48" s="122" t="s">
        <v>7</v>
      </c>
      <c r="I48" s="122" t="s">
        <v>71</v>
      </c>
      <c r="J48" s="122" t="s">
        <v>40</v>
      </c>
      <c r="K48" s="122" t="s">
        <v>16</v>
      </c>
      <c r="L48" s="122" t="s">
        <v>11</v>
      </c>
      <c r="M48" s="122" t="s">
        <v>66</v>
      </c>
      <c r="N48" s="122" t="s">
        <v>14</v>
      </c>
      <c r="O48" s="122"/>
      <c r="P48" s="2">
        <v>5</v>
      </c>
      <c r="Q48" s="11"/>
      <c r="R48" s="311"/>
      <c r="S48" s="10" t="s">
        <v>2</v>
      </c>
      <c r="T48" s="6"/>
    </row>
    <row r="49" spans="1:20" x14ac:dyDescent="0.25">
      <c r="A49" s="6">
        <v>48</v>
      </c>
      <c r="B49" s="7" t="s">
        <v>85</v>
      </c>
      <c r="C49" s="2" t="s">
        <v>13</v>
      </c>
      <c r="D49" s="6" t="s">
        <v>22</v>
      </c>
      <c r="E49" s="6">
        <v>9</v>
      </c>
      <c r="F49" s="121" t="s">
        <v>11</v>
      </c>
      <c r="G49" s="121" t="s">
        <v>66</v>
      </c>
      <c r="H49" s="122" t="s">
        <v>8</v>
      </c>
      <c r="I49" s="122" t="s">
        <v>54</v>
      </c>
      <c r="J49" s="122" t="s">
        <v>7</v>
      </c>
      <c r="K49" s="122" t="s">
        <v>40</v>
      </c>
      <c r="L49" s="122" t="s">
        <v>16</v>
      </c>
      <c r="M49" s="122" t="s">
        <v>12</v>
      </c>
      <c r="N49" s="122" t="s">
        <v>14</v>
      </c>
      <c r="O49" s="122"/>
      <c r="P49" s="2">
        <v>4</v>
      </c>
      <c r="Q49" s="11" t="s">
        <v>2</v>
      </c>
      <c r="R49" s="132"/>
      <c r="S49" s="10"/>
      <c r="T49" s="6"/>
    </row>
    <row r="50" spans="1:20" x14ac:dyDescent="0.25">
      <c r="A50" s="6">
        <v>49</v>
      </c>
      <c r="B50" s="7" t="s">
        <v>85</v>
      </c>
      <c r="C50" s="2" t="s">
        <v>13</v>
      </c>
      <c r="D50" s="6" t="s">
        <v>22</v>
      </c>
      <c r="E50" s="6">
        <v>9</v>
      </c>
      <c r="F50" s="121" t="s">
        <v>40</v>
      </c>
      <c r="G50" s="121" t="s">
        <v>12</v>
      </c>
      <c r="H50" s="122" t="s">
        <v>8</v>
      </c>
      <c r="I50" s="122" t="s">
        <v>54</v>
      </c>
      <c r="J50" s="122" t="s">
        <v>7</v>
      </c>
      <c r="K50" s="122" t="s">
        <v>16</v>
      </c>
      <c r="L50" s="122" t="s">
        <v>11</v>
      </c>
      <c r="M50" s="122" t="s">
        <v>66</v>
      </c>
      <c r="N50" s="122" t="s">
        <v>14</v>
      </c>
      <c r="O50" s="122"/>
      <c r="P50" s="2">
        <v>4</v>
      </c>
      <c r="Q50" s="11" t="s">
        <v>2</v>
      </c>
      <c r="R50" s="132"/>
      <c r="S50" s="10"/>
      <c r="T50" s="6"/>
    </row>
    <row r="51" spans="1:20" x14ac:dyDescent="0.25">
      <c r="A51" s="6">
        <v>50</v>
      </c>
      <c r="B51" s="7" t="s">
        <v>85</v>
      </c>
      <c r="C51" s="2" t="s">
        <v>13</v>
      </c>
      <c r="D51" s="6" t="s">
        <v>22</v>
      </c>
      <c r="E51" s="6">
        <v>10</v>
      </c>
      <c r="F51" s="121" t="s">
        <v>16</v>
      </c>
      <c r="G51" s="121" t="s">
        <v>14</v>
      </c>
      <c r="H51" s="122" t="s">
        <v>8</v>
      </c>
      <c r="I51" s="122" t="s">
        <v>54</v>
      </c>
      <c r="J51" s="122" t="s">
        <v>7</v>
      </c>
      <c r="K51" s="122" t="s">
        <v>40</v>
      </c>
      <c r="L51" s="122" t="s">
        <v>79</v>
      </c>
      <c r="M51" s="122" t="s">
        <v>12</v>
      </c>
      <c r="N51" s="122" t="s">
        <v>11</v>
      </c>
      <c r="O51" s="122" t="s">
        <v>66</v>
      </c>
      <c r="P51" s="2">
        <v>7</v>
      </c>
      <c r="Q51" s="11"/>
      <c r="R51" s="132" t="s">
        <v>2</v>
      </c>
      <c r="S51" s="10"/>
      <c r="T51" s="6">
        <v>2</v>
      </c>
    </row>
    <row r="52" spans="1:20" x14ac:dyDescent="0.25">
      <c r="A52" s="6">
        <v>51</v>
      </c>
      <c r="B52" s="7" t="s">
        <v>85</v>
      </c>
      <c r="C52" s="2" t="s">
        <v>13</v>
      </c>
      <c r="D52" s="6" t="s">
        <v>22</v>
      </c>
      <c r="E52" s="6">
        <v>10</v>
      </c>
      <c r="F52" s="121" t="s">
        <v>54</v>
      </c>
      <c r="G52" s="121" t="s">
        <v>7</v>
      </c>
      <c r="H52" s="122" t="s">
        <v>8</v>
      </c>
      <c r="I52" s="122" t="s">
        <v>40</v>
      </c>
      <c r="J52" s="122" t="s">
        <v>16</v>
      </c>
      <c r="K52" s="122" t="s">
        <v>79</v>
      </c>
      <c r="L52" s="122" t="s">
        <v>12</v>
      </c>
      <c r="M52" s="122" t="s">
        <v>11</v>
      </c>
      <c r="N52" s="122" t="s">
        <v>66</v>
      </c>
      <c r="O52" s="122" t="s">
        <v>14</v>
      </c>
      <c r="P52" s="2">
        <v>10</v>
      </c>
      <c r="Q52" s="11"/>
      <c r="R52" s="132"/>
      <c r="S52" s="10" t="s">
        <v>2</v>
      </c>
      <c r="T52" s="6"/>
    </row>
    <row r="53" spans="1:20" x14ac:dyDescent="0.25">
      <c r="A53" s="6">
        <v>52</v>
      </c>
      <c r="B53" s="7" t="s">
        <v>85</v>
      </c>
      <c r="C53" s="2" t="s">
        <v>15</v>
      </c>
      <c r="D53" s="6" t="s">
        <v>22</v>
      </c>
      <c r="E53" s="6">
        <v>10</v>
      </c>
      <c r="F53" s="121" t="s">
        <v>8</v>
      </c>
      <c r="G53" s="121" t="s">
        <v>7</v>
      </c>
      <c r="H53" s="122" t="s">
        <v>54</v>
      </c>
      <c r="I53" s="122" t="s">
        <v>40</v>
      </c>
      <c r="J53" s="122" t="s">
        <v>16</v>
      </c>
      <c r="K53" s="122" t="s">
        <v>79</v>
      </c>
      <c r="L53" s="122" t="s">
        <v>12</v>
      </c>
      <c r="M53" s="122" t="s">
        <v>11</v>
      </c>
      <c r="N53" s="122" t="s">
        <v>66</v>
      </c>
      <c r="O53" s="122" t="s">
        <v>14</v>
      </c>
      <c r="P53" s="2">
        <v>10</v>
      </c>
      <c r="Q53" s="11"/>
      <c r="R53" s="132"/>
      <c r="S53" s="10" t="s">
        <v>2</v>
      </c>
      <c r="T53" s="6"/>
    </row>
    <row r="54" spans="1:20" x14ac:dyDescent="0.25">
      <c r="A54" s="6">
        <v>53</v>
      </c>
      <c r="B54" s="7" t="s">
        <v>86</v>
      </c>
      <c r="C54" s="2" t="s">
        <v>13</v>
      </c>
      <c r="D54" s="6" t="s">
        <v>22</v>
      </c>
      <c r="E54" s="6">
        <v>9</v>
      </c>
      <c r="F54" s="121" t="s">
        <v>70</v>
      </c>
      <c r="G54" s="121" t="s">
        <v>14</v>
      </c>
      <c r="H54" s="122" t="s">
        <v>7</v>
      </c>
      <c r="I54" s="122" t="s">
        <v>71</v>
      </c>
      <c r="J54" s="122" t="s">
        <v>40</v>
      </c>
      <c r="K54" s="122" t="s">
        <v>16</v>
      </c>
      <c r="L54" s="122" t="s">
        <v>17</v>
      </c>
      <c r="M54" s="122" t="s">
        <v>11</v>
      </c>
      <c r="N54" s="122" t="s">
        <v>66</v>
      </c>
      <c r="O54" s="122"/>
      <c r="P54" s="2">
        <v>3</v>
      </c>
      <c r="Q54" s="11" t="s">
        <v>2</v>
      </c>
      <c r="R54" s="136"/>
      <c r="S54" s="10"/>
      <c r="T54" s="6"/>
    </row>
    <row r="55" spans="1:20" x14ac:dyDescent="0.25">
      <c r="A55" s="6">
        <v>54</v>
      </c>
      <c r="B55" s="7" t="s">
        <v>86</v>
      </c>
      <c r="C55" s="2" t="s">
        <v>15</v>
      </c>
      <c r="D55" s="6" t="s">
        <v>22</v>
      </c>
      <c r="E55" s="6">
        <v>9</v>
      </c>
      <c r="F55" s="121" t="s">
        <v>70</v>
      </c>
      <c r="G55" s="121" t="s">
        <v>71</v>
      </c>
      <c r="H55" s="122" t="s">
        <v>7</v>
      </c>
      <c r="I55" s="122" t="s">
        <v>40</v>
      </c>
      <c r="J55" s="122" t="s">
        <v>16</v>
      </c>
      <c r="K55" s="122" t="s">
        <v>17</v>
      </c>
      <c r="L55" s="122" t="s">
        <v>11</v>
      </c>
      <c r="M55" s="122" t="s">
        <v>66</v>
      </c>
      <c r="N55" s="122" t="s">
        <v>14</v>
      </c>
      <c r="O55" s="122"/>
      <c r="P55" s="2">
        <v>7</v>
      </c>
      <c r="Q55" s="11"/>
      <c r="R55" s="136" t="s">
        <v>2</v>
      </c>
      <c r="S55" s="10"/>
      <c r="T55" s="6"/>
    </row>
    <row r="56" spans="1:20" x14ac:dyDescent="0.25">
      <c r="A56" s="6">
        <v>55</v>
      </c>
      <c r="B56" s="7" t="s">
        <v>86</v>
      </c>
      <c r="C56" s="2" t="s">
        <v>15</v>
      </c>
      <c r="D56" s="6" t="s">
        <v>22</v>
      </c>
      <c r="E56" s="6">
        <v>9</v>
      </c>
      <c r="F56" s="121" t="s">
        <v>11</v>
      </c>
      <c r="G56" s="121" t="s">
        <v>14</v>
      </c>
      <c r="H56" s="122" t="s">
        <v>7</v>
      </c>
      <c r="I56" s="122" t="s">
        <v>70</v>
      </c>
      <c r="J56" s="122" t="s">
        <v>40</v>
      </c>
      <c r="K56" s="122" t="s">
        <v>71</v>
      </c>
      <c r="L56" s="122" t="s">
        <v>16</v>
      </c>
      <c r="M56" s="122" t="s">
        <v>17</v>
      </c>
      <c r="N56" s="122" t="s">
        <v>66</v>
      </c>
      <c r="O56" s="122"/>
      <c r="P56" s="2">
        <v>9</v>
      </c>
      <c r="Q56" s="11"/>
      <c r="R56" s="136"/>
      <c r="S56" s="10" t="s">
        <v>2</v>
      </c>
      <c r="T56" s="6"/>
    </row>
    <row r="57" spans="1:20" x14ac:dyDescent="0.25">
      <c r="A57" s="6">
        <v>56</v>
      </c>
      <c r="B57" s="7" t="s">
        <v>86</v>
      </c>
      <c r="C57" s="2" t="s">
        <v>13</v>
      </c>
      <c r="D57" s="6" t="s">
        <v>22</v>
      </c>
      <c r="E57" s="6">
        <v>9</v>
      </c>
      <c r="F57" s="121" t="s">
        <v>66</v>
      </c>
      <c r="G57" s="121" t="s">
        <v>14</v>
      </c>
      <c r="H57" s="122" t="s">
        <v>7</v>
      </c>
      <c r="I57" s="122" t="s">
        <v>70</v>
      </c>
      <c r="J57" s="122" t="s">
        <v>71</v>
      </c>
      <c r="K57" s="122" t="s">
        <v>40</v>
      </c>
      <c r="L57" s="122" t="s">
        <v>16</v>
      </c>
      <c r="M57" s="122" t="s">
        <v>17</v>
      </c>
      <c r="N57" s="122" t="s">
        <v>11</v>
      </c>
      <c r="O57" s="122"/>
      <c r="P57" s="2">
        <v>3</v>
      </c>
      <c r="Q57" s="11" t="s">
        <v>2</v>
      </c>
      <c r="R57" s="136"/>
      <c r="S57" s="10"/>
      <c r="T57" s="6"/>
    </row>
    <row r="58" spans="1:20" x14ac:dyDescent="0.25">
      <c r="A58" s="6">
        <v>57</v>
      </c>
      <c r="B58" s="7" t="s">
        <v>86</v>
      </c>
      <c r="C58" s="2" t="s">
        <v>13</v>
      </c>
      <c r="D58" s="6" t="s">
        <v>24</v>
      </c>
      <c r="E58" s="6">
        <v>9</v>
      </c>
      <c r="F58" s="121" t="s">
        <v>11</v>
      </c>
      <c r="G58" s="121" t="s">
        <v>14</v>
      </c>
      <c r="H58" s="122" t="s">
        <v>7</v>
      </c>
      <c r="I58" s="122" t="s">
        <v>70</v>
      </c>
      <c r="J58" s="122" t="s">
        <v>40</v>
      </c>
      <c r="K58" s="122" t="s">
        <v>71</v>
      </c>
      <c r="L58" s="122" t="s">
        <v>16</v>
      </c>
      <c r="M58" s="122" t="s">
        <v>17</v>
      </c>
      <c r="N58" s="122" t="s">
        <v>66</v>
      </c>
      <c r="O58" s="122"/>
      <c r="P58" s="2">
        <v>8</v>
      </c>
      <c r="Q58" s="11"/>
      <c r="R58" s="136"/>
      <c r="S58" s="10" t="s">
        <v>2</v>
      </c>
      <c r="T58" s="6"/>
    </row>
    <row r="59" spans="1:20" x14ac:dyDescent="0.25">
      <c r="A59" s="6">
        <v>58</v>
      </c>
      <c r="B59" s="7" t="s">
        <v>86</v>
      </c>
      <c r="C59" s="2" t="s">
        <v>13</v>
      </c>
      <c r="D59" s="6" t="s">
        <v>24</v>
      </c>
      <c r="E59" s="6">
        <v>9</v>
      </c>
      <c r="F59" s="121" t="s">
        <v>40</v>
      </c>
      <c r="G59" s="121" t="s">
        <v>66</v>
      </c>
      <c r="H59" s="122" t="s">
        <v>7</v>
      </c>
      <c r="I59" s="122" t="s">
        <v>70</v>
      </c>
      <c r="J59" s="122" t="s">
        <v>71</v>
      </c>
      <c r="K59" s="122" t="s">
        <v>16</v>
      </c>
      <c r="L59" s="122" t="s">
        <v>17</v>
      </c>
      <c r="M59" s="122" t="s">
        <v>11</v>
      </c>
      <c r="N59" s="122" t="s">
        <v>14</v>
      </c>
      <c r="O59" s="122"/>
      <c r="P59" s="2">
        <v>5</v>
      </c>
      <c r="Q59" s="11" t="s">
        <v>2</v>
      </c>
      <c r="R59" s="136"/>
      <c r="S59" s="10"/>
      <c r="T59" s="6"/>
    </row>
    <row r="60" spans="1:20" x14ac:dyDescent="0.25">
      <c r="A60" s="6">
        <v>59</v>
      </c>
      <c r="B60" s="7" t="s">
        <v>86</v>
      </c>
      <c r="C60" s="2" t="s">
        <v>13</v>
      </c>
      <c r="D60" s="6" t="s">
        <v>24</v>
      </c>
      <c r="E60" s="6">
        <v>9</v>
      </c>
      <c r="F60" s="121" t="s">
        <v>40</v>
      </c>
      <c r="G60" s="121" t="s">
        <v>14</v>
      </c>
      <c r="H60" s="122" t="s">
        <v>7</v>
      </c>
      <c r="I60" s="122" t="s">
        <v>70</v>
      </c>
      <c r="J60" s="122" t="s">
        <v>71</v>
      </c>
      <c r="K60" s="122" t="s">
        <v>16</v>
      </c>
      <c r="L60" s="122" t="s">
        <v>17</v>
      </c>
      <c r="M60" s="122" t="s">
        <v>11</v>
      </c>
      <c r="N60" s="122" t="s">
        <v>66</v>
      </c>
      <c r="O60" s="122"/>
      <c r="P60" s="2">
        <v>5</v>
      </c>
      <c r="Q60" s="11"/>
      <c r="R60" s="136"/>
      <c r="S60" s="10" t="s">
        <v>2</v>
      </c>
      <c r="T60" s="6"/>
    </row>
    <row r="61" spans="1:20" x14ac:dyDescent="0.25">
      <c r="A61" s="6">
        <v>60</v>
      </c>
      <c r="B61" s="7" t="s">
        <v>86</v>
      </c>
      <c r="C61" s="2" t="s">
        <v>13</v>
      </c>
      <c r="D61" s="6" t="s">
        <v>19</v>
      </c>
      <c r="E61" s="6">
        <v>9</v>
      </c>
      <c r="F61" s="121" t="s">
        <v>70</v>
      </c>
      <c r="G61" s="121" t="s">
        <v>14</v>
      </c>
      <c r="H61" s="122" t="s">
        <v>7</v>
      </c>
      <c r="I61" s="122" t="s">
        <v>71</v>
      </c>
      <c r="J61" s="122" t="s">
        <v>40</v>
      </c>
      <c r="K61" s="122" t="s">
        <v>16</v>
      </c>
      <c r="L61" s="122" t="s">
        <v>17</v>
      </c>
      <c r="M61" s="122" t="s">
        <v>11</v>
      </c>
      <c r="N61" s="122" t="s">
        <v>66</v>
      </c>
      <c r="O61" s="344"/>
      <c r="P61" s="6">
        <v>6</v>
      </c>
      <c r="Q61" s="11"/>
      <c r="R61" s="6"/>
      <c r="S61" s="10" t="s">
        <v>2</v>
      </c>
      <c r="T61" s="6"/>
    </row>
    <row r="62" spans="1:20" x14ac:dyDescent="0.25">
      <c r="A62" s="6">
        <v>61</v>
      </c>
      <c r="B62" s="7" t="s">
        <v>86</v>
      </c>
      <c r="C62" s="2" t="s">
        <v>13</v>
      </c>
      <c r="D62" s="6" t="s">
        <v>19</v>
      </c>
      <c r="E62" s="6">
        <v>9</v>
      </c>
      <c r="F62" s="121" t="s">
        <v>17</v>
      </c>
      <c r="G62" s="121" t="s">
        <v>14</v>
      </c>
      <c r="H62" s="122" t="s">
        <v>7</v>
      </c>
      <c r="I62" s="122" t="s">
        <v>70</v>
      </c>
      <c r="J62" s="122" t="s">
        <v>71</v>
      </c>
      <c r="K62" s="122" t="s">
        <v>40</v>
      </c>
      <c r="L62" s="122" t="s">
        <v>16</v>
      </c>
      <c r="M62" s="122" t="s">
        <v>11</v>
      </c>
      <c r="N62" s="122" t="s">
        <v>66</v>
      </c>
      <c r="O62" s="344"/>
      <c r="P62" s="6">
        <v>4</v>
      </c>
      <c r="Q62" s="11"/>
      <c r="R62" s="6"/>
      <c r="S62" s="10" t="s">
        <v>2</v>
      </c>
      <c r="T62" s="6"/>
    </row>
    <row r="63" spans="1:20" x14ac:dyDescent="0.25">
      <c r="A63" s="6">
        <v>62</v>
      </c>
      <c r="B63" s="7" t="s">
        <v>86</v>
      </c>
      <c r="C63" s="2" t="s">
        <v>13</v>
      </c>
      <c r="D63" s="6" t="s">
        <v>19</v>
      </c>
      <c r="E63" s="6">
        <v>9</v>
      </c>
      <c r="F63" s="121" t="s">
        <v>16</v>
      </c>
      <c r="G63" s="121" t="s">
        <v>66</v>
      </c>
      <c r="H63" s="122" t="s">
        <v>7</v>
      </c>
      <c r="I63" s="122" t="s">
        <v>70</v>
      </c>
      <c r="J63" s="122" t="s">
        <v>71</v>
      </c>
      <c r="K63" s="122" t="s">
        <v>40</v>
      </c>
      <c r="L63" s="122" t="s">
        <v>17</v>
      </c>
      <c r="M63" s="122" t="s">
        <v>11</v>
      </c>
      <c r="N63" s="122" t="s">
        <v>14</v>
      </c>
      <c r="O63" s="344"/>
      <c r="P63" s="6">
        <v>6</v>
      </c>
      <c r="Q63" s="11" t="s">
        <v>2</v>
      </c>
      <c r="R63" s="6"/>
      <c r="S63" s="10"/>
      <c r="T63" s="6">
        <v>2</v>
      </c>
    </row>
    <row r="64" spans="1:20" x14ac:dyDescent="0.25">
      <c r="A64" s="6">
        <v>63</v>
      </c>
      <c r="B64" s="7" t="s">
        <v>86</v>
      </c>
      <c r="C64" s="2" t="s">
        <v>13</v>
      </c>
      <c r="D64" s="6" t="s">
        <v>19</v>
      </c>
      <c r="E64" s="6">
        <v>9</v>
      </c>
      <c r="F64" s="121" t="s">
        <v>40</v>
      </c>
      <c r="G64" s="121" t="s">
        <v>14</v>
      </c>
      <c r="H64" s="122" t="s">
        <v>7</v>
      </c>
      <c r="I64" s="122" t="s">
        <v>70</v>
      </c>
      <c r="J64" s="122" t="s">
        <v>71</v>
      </c>
      <c r="K64" s="122" t="s">
        <v>16</v>
      </c>
      <c r="L64" s="122" t="s">
        <v>17</v>
      </c>
      <c r="M64" s="122" t="s">
        <v>11</v>
      </c>
      <c r="N64" s="122" t="s">
        <v>66</v>
      </c>
      <c r="O64" s="122"/>
      <c r="P64" s="6">
        <v>4</v>
      </c>
      <c r="Q64" s="11" t="s">
        <v>2</v>
      </c>
      <c r="R64" s="6"/>
      <c r="S64" s="10"/>
      <c r="T64" s="6"/>
    </row>
    <row r="65" spans="1:20" x14ac:dyDescent="0.25">
      <c r="A65" s="6">
        <v>64</v>
      </c>
      <c r="B65" s="7" t="s">
        <v>86</v>
      </c>
      <c r="C65" s="2" t="s">
        <v>13</v>
      </c>
      <c r="D65" s="6" t="s">
        <v>19</v>
      </c>
      <c r="E65" s="6">
        <v>9</v>
      </c>
      <c r="F65" s="121" t="s">
        <v>71</v>
      </c>
      <c r="G65" s="121" t="s">
        <v>11</v>
      </c>
      <c r="H65" s="122" t="s">
        <v>7</v>
      </c>
      <c r="I65" s="122" t="s">
        <v>70</v>
      </c>
      <c r="J65" s="122" t="s">
        <v>40</v>
      </c>
      <c r="K65" s="122" t="s">
        <v>16</v>
      </c>
      <c r="L65" s="122" t="s">
        <v>17</v>
      </c>
      <c r="M65" s="122" t="s">
        <v>66</v>
      </c>
      <c r="N65" s="122" t="s">
        <v>14</v>
      </c>
      <c r="O65" s="344"/>
      <c r="P65" s="6">
        <v>4</v>
      </c>
      <c r="Q65" s="11" t="s">
        <v>2</v>
      </c>
      <c r="R65" s="6"/>
      <c r="S65" s="10"/>
      <c r="T65" s="6"/>
    </row>
    <row r="66" spans="1:20" x14ac:dyDescent="0.25">
      <c r="A66" s="6">
        <v>65</v>
      </c>
      <c r="B66" s="7" t="s">
        <v>86</v>
      </c>
      <c r="C66" s="2" t="s">
        <v>13</v>
      </c>
      <c r="D66" s="6" t="s">
        <v>19</v>
      </c>
      <c r="E66" s="6">
        <v>9</v>
      </c>
      <c r="F66" s="121" t="s">
        <v>71</v>
      </c>
      <c r="G66" s="121" t="s">
        <v>14</v>
      </c>
      <c r="H66" s="122" t="s">
        <v>7</v>
      </c>
      <c r="I66" s="122" t="s">
        <v>70</v>
      </c>
      <c r="J66" s="122" t="s">
        <v>40</v>
      </c>
      <c r="K66" s="122" t="s">
        <v>16</v>
      </c>
      <c r="L66" s="122" t="s">
        <v>17</v>
      </c>
      <c r="M66" s="122" t="s">
        <v>11</v>
      </c>
      <c r="N66" s="122" t="s">
        <v>66</v>
      </c>
      <c r="O66" s="122"/>
      <c r="P66" s="2">
        <v>8</v>
      </c>
      <c r="Q66" s="11"/>
      <c r="R66" s="136"/>
      <c r="S66" s="10" t="s">
        <v>2</v>
      </c>
      <c r="T66" s="6"/>
    </row>
    <row r="67" spans="1:20" x14ac:dyDescent="0.25">
      <c r="A67" s="6">
        <v>66</v>
      </c>
      <c r="B67" s="7" t="s">
        <v>86</v>
      </c>
      <c r="C67" s="2" t="s">
        <v>13</v>
      </c>
      <c r="D67" s="6" t="s">
        <v>19</v>
      </c>
      <c r="E67" s="6">
        <v>9</v>
      </c>
      <c r="F67" s="121" t="s">
        <v>40</v>
      </c>
      <c r="G67" s="121" t="s">
        <v>14</v>
      </c>
      <c r="H67" s="122" t="s">
        <v>7</v>
      </c>
      <c r="I67" s="122" t="s">
        <v>70</v>
      </c>
      <c r="J67" s="122" t="s">
        <v>71</v>
      </c>
      <c r="K67" s="122" t="s">
        <v>16</v>
      </c>
      <c r="L67" s="122" t="s">
        <v>17</v>
      </c>
      <c r="M67" s="122" t="s">
        <v>11</v>
      </c>
      <c r="N67" s="122" t="s">
        <v>66</v>
      </c>
      <c r="O67" s="122"/>
      <c r="P67" s="2">
        <v>4</v>
      </c>
      <c r="Q67" s="11" t="s">
        <v>2</v>
      </c>
      <c r="R67" s="136"/>
      <c r="S67" s="10"/>
      <c r="T67" s="6"/>
    </row>
    <row r="68" spans="1:20" x14ac:dyDescent="0.25">
      <c r="A68" s="6">
        <v>67</v>
      </c>
      <c r="B68" s="7" t="s">
        <v>86</v>
      </c>
      <c r="C68" s="2" t="s">
        <v>13</v>
      </c>
      <c r="D68" s="6" t="s">
        <v>19</v>
      </c>
      <c r="E68" s="6">
        <v>9</v>
      </c>
      <c r="F68" s="121" t="s">
        <v>11</v>
      </c>
      <c r="G68" s="121" t="s">
        <v>66</v>
      </c>
      <c r="H68" s="122" t="s">
        <v>7</v>
      </c>
      <c r="I68" s="122" t="s">
        <v>70</v>
      </c>
      <c r="J68" s="122" t="s">
        <v>71</v>
      </c>
      <c r="K68" s="122" t="s">
        <v>40</v>
      </c>
      <c r="L68" s="122" t="s">
        <v>16</v>
      </c>
      <c r="M68" s="122" t="s">
        <v>17</v>
      </c>
      <c r="N68" s="122" t="s">
        <v>14</v>
      </c>
      <c r="O68" s="122"/>
      <c r="P68" s="2">
        <v>9</v>
      </c>
      <c r="Q68" s="11"/>
      <c r="R68" s="136"/>
      <c r="S68" s="10" t="s">
        <v>2</v>
      </c>
      <c r="T68" s="6"/>
    </row>
    <row r="69" spans="1:20" x14ac:dyDescent="0.25">
      <c r="A69" s="6">
        <v>68</v>
      </c>
      <c r="B69" s="7" t="s">
        <v>86</v>
      </c>
      <c r="C69" s="2" t="s">
        <v>13</v>
      </c>
      <c r="D69" s="6" t="s">
        <v>19</v>
      </c>
      <c r="E69" s="6">
        <v>9</v>
      </c>
      <c r="F69" s="121" t="s">
        <v>40</v>
      </c>
      <c r="G69" s="121" t="s">
        <v>11</v>
      </c>
      <c r="H69" s="122" t="s">
        <v>7</v>
      </c>
      <c r="I69" s="122" t="s">
        <v>70</v>
      </c>
      <c r="J69" s="122" t="s">
        <v>71</v>
      </c>
      <c r="K69" s="122" t="s">
        <v>16</v>
      </c>
      <c r="L69" s="122" t="s">
        <v>17</v>
      </c>
      <c r="M69" s="122" t="s">
        <v>66</v>
      </c>
      <c r="N69" s="122" t="s">
        <v>14</v>
      </c>
      <c r="O69" s="122"/>
      <c r="P69" s="2">
        <v>8</v>
      </c>
      <c r="Q69" s="11"/>
      <c r="R69" s="136"/>
      <c r="S69" s="10" t="s">
        <v>2</v>
      </c>
      <c r="T69" s="6"/>
    </row>
    <row r="70" spans="1:20" x14ac:dyDescent="0.25">
      <c r="A70" s="6">
        <v>69</v>
      </c>
      <c r="B70" s="7" t="s">
        <v>86</v>
      </c>
      <c r="C70" s="2" t="s">
        <v>13</v>
      </c>
      <c r="D70" s="6" t="s">
        <v>19</v>
      </c>
      <c r="E70" s="6">
        <v>9</v>
      </c>
      <c r="F70" s="121" t="s">
        <v>40</v>
      </c>
      <c r="G70" s="121" t="s">
        <v>66</v>
      </c>
      <c r="H70" s="122" t="s">
        <v>7</v>
      </c>
      <c r="I70" s="122" t="s">
        <v>70</v>
      </c>
      <c r="J70" s="122" t="s">
        <v>71</v>
      </c>
      <c r="K70" s="122" t="s">
        <v>16</v>
      </c>
      <c r="L70" s="122" t="s">
        <v>17</v>
      </c>
      <c r="M70" s="122" t="s">
        <v>11</v>
      </c>
      <c r="N70" s="122" t="s">
        <v>14</v>
      </c>
      <c r="O70" s="122"/>
      <c r="P70" s="2">
        <v>5</v>
      </c>
      <c r="Q70" s="11" t="s">
        <v>2</v>
      </c>
      <c r="R70" s="136"/>
      <c r="S70" s="10"/>
      <c r="T70" s="6"/>
    </row>
    <row r="71" spans="1:20" x14ac:dyDescent="0.25">
      <c r="A71" s="6">
        <v>70</v>
      </c>
      <c r="B71" s="7" t="s">
        <v>89</v>
      </c>
      <c r="C71" s="2" t="s">
        <v>13</v>
      </c>
      <c r="D71" s="6" t="s">
        <v>22</v>
      </c>
      <c r="E71" s="6">
        <v>9</v>
      </c>
      <c r="F71" s="121" t="s">
        <v>8</v>
      </c>
      <c r="G71" s="121" t="s">
        <v>16</v>
      </c>
      <c r="H71" s="122" t="s">
        <v>54</v>
      </c>
      <c r="I71" s="122" t="s">
        <v>7</v>
      </c>
      <c r="J71" s="122" t="s">
        <v>41</v>
      </c>
      <c r="K71" s="122" t="s">
        <v>40</v>
      </c>
      <c r="L71" s="122" t="s">
        <v>12</v>
      </c>
      <c r="M71" s="122" t="s">
        <v>11</v>
      </c>
      <c r="N71" s="122" t="s">
        <v>53</v>
      </c>
      <c r="O71" s="122"/>
      <c r="P71" s="2">
        <v>4</v>
      </c>
      <c r="Q71" s="11" t="s">
        <v>2</v>
      </c>
      <c r="R71" s="178"/>
      <c r="S71" s="10"/>
      <c r="T71" s="6">
        <v>3</v>
      </c>
    </row>
    <row r="72" spans="1:20" x14ac:dyDescent="0.25">
      <c r="A72" s="6">
        <v>71</v>
      </c>
      <c r="B72" s="7" t="s">
        <v>89</v>
      </c>
      <c r="C72" s="2" t="s">
        <v>13</v>
      </c>
      <c r="D72" s="6" t="s">
        <v>22</v>
      </c>
      <c r="E72" s="6">
        <v>9</v>
      </c>
      <c r="F72" s="121" t="s">
        <v>54</v>
      </c>
      <c r="G72" s="121" t="s">
        <v>7</v>
      </c>
      <c r="H72" s="122" t="s">
        <v>8</v>
      </c>
      <c r="I72" s="122" t="s">
        <v>41</v>
      </c>
      <c r="J72" s="122" t="s">
        <v>40</v>
      </c>
      <c r="K72" s="122" t="s">
        <v>16</v>
      </c>
      <c r="L72" s="122" t="s">
        <v>12</v>
      </c>
      <c r="M72" s="122" t="s">
        <v>11</v>
      </c>
      <c r="N72" s="122" t="s">
        <v>53</v>
      </c>
      <c r="O72" s="122"/>
      <c r="P72" s="2">
        <v>6</v>
      </c>
      <c r="Q72" s="11"/>
      <c r="R72" s="178" t="s">
        <v>2</v>
      </c>
      <c r="S72" s="10"/>
      <c r="T72" s="6"/>
    </row>
    <row r="73" spans="1:20" x14ac:dyDescent="0.25">
      <c r="A73" s="6">
        <v>72</v>
      </c>
      <c r="B73" s="7" t="s">
        <v>89</v>
      </c>
      <c r="C73" s="2" t="s">
        <v>13</v>
      </c>
      <c r="D73" s="6" t="s">
        <v>22</v>
      </c>
      <c r="E73" s="6">
        <v>9</v>
      </c>
      <c r="F73" s="121" t="s">
        <v>41</v>
      </c>
      <c r="G73" s="121" t="s">
        <v>53</v>
      </c>
      <c r="H73" s="122" t="s">
        <v>8</v>
      </c>
      <c r="I73" s="122" t="s">
        <v>54</v>
      </c>
      <c r="J73" s="122" t="s">
        <v>7</v>
      </c>
      <c r="K73" s="122" t="s">
        <v>40</v>
      </c>
      <c r="L73" s="122" t="s">
        <v>16</v>
      </c>
      <c r="M73" s="122" t="s">
        <v>12</v>
      </c>
      <c r="N73" s="122" t="s">
        <v>11</v>
      </c>
      <c r="O73" s="122"/>
      <c r="P73" s="2">
        <v>4</v>
      </c>
      <c r="Q73" s="11"/>
      <c r="R73" s="178"/>
      <c r="S73" s="10" t="s">
        <v>2</v>
      </c>
      <c r="T73" s="6"/>
    </row>
    <row r="74" spans="1:20" x14ac:dyDescent="0.25">
      <c r="A74" s="6">
        <v>73</v>
      </c>
      <c r="B74" s="7" t="s">
        <v>89</v>
      </c>
      <c r="C74" s="2" t="s">
        <v>13</v>
      </c>
      <c r="D74" s="6" t="s">
        <v>22</v>
      </c>
      <c r="E74" s="6">
        <v>9</v>
      </c>
      <c r="F74" s="121" t="s">
        <v>16</v>
      </c>
      <c r="G74" s="121" t="s">
        <v>53</v>
      </c>
      <c r="H74" s="122" t="s">
        <v>8</v>
      </c>
      <c r="I74" s="122" t="s">
        <v>54</v>
      </c>
      <c r="J74" s="122" t="s">
        <v>7</v>
      </c>
      <c r="K74" s="122" t="s">
        <v>41</v>
      </c>
      <c r="L74" s="122" t="s">
        <v>40</v>
      </c>
      <c r="M74" s="122" t="s">
        <v>12</v>
      </c>
      <c r="N74" s="122" t="s">
        <v>11</v>
      </c>
      <c r="O74" s="122"/>
      <c r="P74" s="2">
        <v>8</v>
      </c>
      <c r="Q74" s="11"/>
      <c r="R74" s="178" t="s">
        <v>2</v>
      </c>
      <c r="S74" s="10"/>
      <c r="T74" s="6">
        <v>0</v>
      </c>
    </row>
    <row r="75" spans="1:20" x14ac:dyDescent="0.25">
      <c r="A75" s="6">
        <v>74</v>
      </c>
      <c r="B75" s="7" t="s">
        <v>89</v>
      </c>
      <c r="C75" s="2" t="s">
        <v>15</v>
      </c>
      <c r="D75" s="6" t="s">
        <v>22</v>
      </c>
      <c r="E75" s="6">
        <v>9</v>
      </c>
      <c r="F75" s="121" t="s">
        <v>7</v>
      </c>
      <c r="G75" s="121" t="s">
        <v>41</v>
      </c>
      <c r="H75" s="122" t="s">
        <v>8</v>
      </c>
      <c r="I75" s="122" t="s">
        <v>54</v>
      </c>
      <c r="J75" s="122" t="s">
        <v>40</v>
      </c>
      <c r="K75" s="122" t="s">
        <v>16</v>
      </c>
      <c r="L75" s="122" t="s">
        <v>12</v>
      </c>
      <c r="M75" s="122" t="s">
        <v>11</v>
      </c>
      <c r="N75" s="122" t="s">
        <v>53</v>
      </c>
      <c r="O75" s="122"/>
      <c r="P75" s="2">
        <v>9</v>
      </c>
      <c r="Q75" s="11"/>
      <c r="R75" s="178"/>
      <c r="S75" s="10" t="s">
        <v>2</v>
      </c>
      <c r="T75" s="6"/>
    </row>
    <row r="76" spans="1:20" x14ac:dyDescent="0.25">
      <c r="A76" s="6">
        <v>75</v>
      </c>
      <c r="B76" s="7" t="s">
        <v>89</v>
      </c>
      <c r="C76" s="2" t="s">
        <v>13</v>
      </c>
      <c r="D76" s="6" t="s">
        <v>22</v>
      </c>
      <c r="E76" s="6">
        <v>9</v>
      </c>
      <c r="F76" s="121" t="s">
        <v>40</v>
      </c>
      <c r="G76" s="121" t="s">
        <v>53</v>
      </c>
      <c r="H76" s="122" t="s">
        <v>8</v>
      </c>
      <c r="I76" s="122" t="s">
        <v>54</v>
      </c>
      <c r="J76" s="122" t="s">
        <v>7</v>
      </c>
      <c r="K76" s="122" t="s">
        <v>41</v>
      </c>
      <c r="L76" s="122" t="s">
        <v>16</v>
      </c>
      <c r="M76" s="122" t="s">
        <v>12</v>
      </c>
      <c r="N76" s="122" t="s">
        <v>11</v>
      </c>
      <c r="O76" s="122"/>
      <c r="P76" s="2">
        <v>8</v>
      </c>
      <c r="Q76" s="11"/>
      <c r="R76" s="311"/>
      <c r="S76" s="10" t="s">
        <v>2</v>
      </c>
      <c r="T76" s="6"/>
    </row>
    <row r="77" spans="1:20" x14ac:dyDescent="0.25">
      <c r="A77" s="6">
        <v>76</v>
      </c>
      <c r="B77" s="7" t="s">
        <v>89</v>
      </c>
      <c r="C77" s="2" t="s">
        <v>15</v>
      </c>
      <c r="D77" s="6" t="s">
        <v>22</v>
      </c>
      <c r="E77" s="6">
        <v>9</v>
      </c>
      <c r="F77" s="121" t="s">
        <v>40</v>
      </c>
      <c r="G77" s="121" t="s">
        <v>11</v>
      </c>
      <c r="H77" s="122" t="s">
        <v>8</v>
      </c>
      <c r="I77" s="122" t="s">
        <v>54</v>
      </c>
      <c r="J77" s="122" t="s">
        <v>7</v>
      </c>
      <c r="K77" s="122" t="s">
        <v>41</v>
      </c>
      <c r="L77" s="122" t="s">
        <v>16</v>
      </c>
      <c r="M77" s="122" t="s">
        <v>12</v>
      </c>
      <c r="N77" s="122" t="s">
        <v>53</v>
      </c>
      <c r="O77" s="122"/>
      <c r="P77" s="2">
        <v>9</v>
      </c>
      <c r="Q77" s="11"/>
      <c r="R77" s="311"/>
      <c r="S77" s="10" t="s">
        <v>2</v>
      </c>
      <c r="T77" s="6"/>
    </row>
    <row r="78" spans="1:20" x14ac:dyDescent="0.25">
      <c r="A78" s="6">
        <v>77</v>
      </c>
      <c r="B78" s="7" t="s">
        <v>89</v>
      </c>
      <c r="C78" s="2" t="s">
        <v>13</v>
      </c>
      <c r="D78" s="6" t="s">
        <v>22</v>
      </c>
      <c r="E78" s="6">
        <v>9</v>
      </c>
      <c r="F78" s="121" t="s">
        <v>16</v>
      </c>
      <c r="G78" s="121" t="s">
        <v>53</v>
      </c>
      <c r="H78" s="122" t="s">
        <v>8</v>
      </c>
      <c r="I78" s="122" t="s">
        <v>54</v>
      </c>
      <c r="J78" s="122" t="s">
        <v>7</v>
      </c>
      <c r="K78" s="122" t="s">
        <v>41</v>
      </c>
      <c r="L78" s="122" t="s">
        <v>40</v>
      </c>
      <c r="M78" s="122" t="s">
        <v>12</v>
      </c>
      <c r="N78" s="122" t="s">
        <v>11</v>
      </c>
      <c r="O78" s="122"/>
      <c r="P78" s="2">
        <v>3</v>
      </c>
      <c r="Q78" s="11"/>
      <c r="R78" s="311" t="s">
        <v>2</v>
      </c>
      <c r="S78" s="10"/>
      <c r="T78" s="6">
        <v>4</v>
      </c>
    </row>
    <row r="79" spans="1:20" x14ac:dyDescent="0.25">
      <c r="A79" s="6">
        <v>78</v>
      </c>
      <c r="B79" s="7" t="s">
        <v>89</v>
      </c>
      <c r="C79" s="2" t="s">
        <v>15</v>
      </c>
      <c r="D79" s="6" t="s">
        <v>19</v>
      </c>
      <c r="E79" s="6">
        <v>9</v>
      </c>
      <c r="F79" s="121" t="s">
        <v>54</v>
      </c>
      <c r="G79" s="121" t="s">
        <v>11</v>
      </c>
      <c r="H79" s="122" t="s">
        <v>8</v>
      </c>
      <c r="I79" s="122" t="s">
        <v>7</v>
      </c>
      <c r="J79" s="122" t="s">
        <v>41</v>
      </c>
      <c r="K79" s="122" t="s">
        <v>40</v>
      </c>
      <c r="L79" s="122" t="s">
        <v>16</v>
      </c>
      <c r="M79" s="122" t="s">
        <v>12</v>
      </c>
      <c r="N79" s="122" t="s">
        <v>53</v>
      </c>
      <c r="O79" s="122"/>
      <c r="P79" s="2">
        <v>7</v>
      </c>
      <c r="Q79" s="11"/>
      <c r="R79" s="178"/>
      <c r="S79" s="10" t="s">
        <v>2</v>
      </c>
      <c r="T79" s="6"/>
    </row>
    <row r="80" spans="1:20" x14ac:dyDescent="0.25">
      <c r="A80" s="6">
        <v>79</v>
      </c>
      <c r="B80" s="7" t="s">
        <v>89</v>
      </c>
      <c r="C80" s="2" t="s">
        <v>13</v>
      </c>
      <c r="D80" s="6" t="s">
        <v>19</v>
      </c>
      <c r="E80" s="6">
        <v>9</v>
      </c>
      <c r="F80" s="121" t="s">
        <v>41</v>
      </c>
      <c r="G80" s="121" t="s">
        <v>53</v>
      </c>
      <c r="H80" s="122" t="s">
        <v>8</v>
      </c>
      <c r="I80" s="122" t="s">
        <v>54</v>
      </c>
      <c r="J80" s="122" t="s">
        <v>7</v>
      </c>
      <c r="K80" s="122" t="s">
        <v>40</v>
      </c>
      <c r="L80" s="122" t="s">
        <v>16</v>
      </c>
      <c r="M80" s="122" t="s">
        <v>12</v>
      </c>
      <c r="N80" s="122" t="s">
        <v>11</v>
      </c>
      <c r="O80" s="122"/>
      <c r="P80" s="2">
        <v>5</v>
      </c>
      <c r="Q80" s="11"/>
      <c r="R80" s="178"/>
      <c r="S80" s="10" t="s">
        <v>2</v>
      </c>
      <c r="T80" s="6"/>
    </row>
    <row r="81" spans="1:20" x14ac:dyDescent="0.25">
      <c r="A81" s="6">
        <v>80</v>
      </c>
      <c r="B81" s="7" t="s">
        <v>89</v>
      </c>
      <c r="C81" s="2" t="s">
        <v>13</v>
      </c>
      <c r="D81" s="6" t="s">
        <v>19</v>
      </c>
      <c r="E81" s="6">
        <v>9</v>
      </c>
      <c r="F81" s="121" t="s">
        <v>8</v>
      </c>
      <c r="G81" s="121" t="s">
        <v>11</v>
      </c>
      <c r="H81" s="122" t="s">
        <v>54</v>
      </c>
      <c r="I81" s="122" t="s">
        <v>7</v>
      </c>
      <c r="J81" s="122" t="s">
        <v>41</v>
      </c>
      <c r="K81" s="122" t="s">
        <v>40</v>
      </c>
      <c r="L81" s="122" t="s">
        <v>16</v>
      </c>
      <c r="M81" s="122" t="s">
        <v>12</v>
      </c>
      <c r="N81" s="122" t="s">
        <v>53</v>
      </c>
      <c r="O81" s="122"/>
      <c r="P81" s="2">
        <v>7</v>
      </c>
      <c r="Q81" s="11"/>
      <c r="R81" s="178"/>
      <c r="S81" s="10" t="s">
        <v>2</v>
      </c>
      <c r="T81" s="6"/>
    </row>
    <row r="82" spans="1:20" x14ac:dyDescent="0.25">
      <c r="A82" s="6">
        <v>81</v>
      </c>
      <c r="B82" s="7" t="s">
        <v>91</v>
      </c>
      <c r="C82" s="2" t="s">
        <v>15</v>
      </c>
      <c r="D82" s="6" t="s">
        <v>22</v>
      </c>
      <c r="E82" s="6">
        <v>9</v>
      </c>
      <c r="F82" s="121" t="s">
        <v>7</v>
      </c>
      <c r="G82" s="121" t="s">
        <v>41</v>
      </c>
      <c r="H82" s="122" t="s">
        <v>69</v>
      </c>
      <c r="I82" s="122" t="s">
        <v>90</v>
      </c>
      <c r="J82" s="122" t="s">
        <v>79</v>
      </c>
      <c r="K82" s="122" t="s">
        <v>16</v>
      </c>
      <c r="L82" s="122" t="s">
        <v>17</v>
      </c>
      <c r="M82" s="122" t="s">
        <v>11</v>
      </c>
      <c r="N82" s="122" t="s">
        <v>14</v>
      </c>
      <c r="O82" s="122"/>
      <c r="P82" s="2">
        <v>8</v>
      </c>
      <c r="Q82" s="11"/>
      <c r="R82" s="178"/>
      <c r="S82" s="10" t="s">
        <v>2</v>
      </c>
      <c r="T82" s="6"/>
    </row>
    <row r="83" spans="1:20" x14ac:dyDescent="0.25">
      <c r="A83" s="6">
        <v>82</v>
      </c>
      <c r="B83" s="7" t="s">
        <v>91</v>
      </c>
      <c r="C83" s="2" t="s">
        <v>15</v>
      </c>
      <c r="D83" s="6" t="s">
        <v>22</v>
      </c>
      <c r="E83" s="6">
        <v>9</v>
      </c>
      <c r="F83" s="121" t="s">
        <v>7</v>
      </c>
      <c r="G83" s="121" t="s">
        <v>14</v>
      </c>
      <c r="H83" s="122" t="s">
        <v>69</v>
      </c>
      <c r="I83" s="122" t="s">
        <v>41</v>
      </c>
      <c r="J83" s="122" t="s">
        <v>90</v>
      </c>
      <c r="K83" s="122" t="s">
        <v>79</v>
      </c>
      <c r="L83" s="122" t="s">
        <v>16</v>
      </c>
      <c r="M83" s="122" t="s">
        <v>17</v>
      </c>
      <c r="N83" s="122" t="s">
        <v>11</v>
      </c>
      <c r="O83" s="122" t="s">
        <v>53</v>
      </c>
      <c r="P83" s="2">
        <v>3</v>
      </c>
      <c r="Q83" s="11"/>
      <c r="R83" s="178" t="s">
        <v>2</v>
      </c>
      <c r="S83" s="10"/>
      <c r="T83" s="6"/>
    </row>
    <row r="84" spans="1:20" x14ac:dyDescent="0.25">
      <c r="A84" s="6">
        <v>83</v>
      </c>
      <c r="B84" s="7" t="s">
        <v>91</v>
      </c>
      <c r="C84" s="2" t="s">
        <v>15</v>
      </c>
      <c r="D84" s="6" t="s">
        <v>22</v>
      </c>
      <c r="E84" s="6">
        <v>10</v>
      </c>
      <c r="F84" s="121" t="s">
        <v>16</v>
      </c>
      <c r="G84" s="121" t="s">
        <v>11</v>
      </c>
      <c r="H84" s="122" t="s">
        <v>69</v>
      </c>
      <c r="I84" s="122" t="s">
        <v>7</v>
      </c>
      <c r="J84" s="122" t="s">
        <v>41</v>
      </c>
      <c r="K84" s="122" t="s">
        <v>90</v>
      </c>
      <c r="L84" s="122" t="s">
        <v>79</v>
      </c>
      <c r="M84" s="122" t="s">
        <v>17</v>
      </c>
      <c r="N84" s="122" t="s">
        <v>53</v>
      </c>
      <c r="O84" s="122" t="s">
        <v>14</v>
      </c>
      <c r="P84" s="2">
        <v>4</v>
      </c>
      <c r="Q84" s="11" t="s">
        <v>2</v>
      </c>
      <c r="R84" s="178"/>
      <c r="S84" s="10"/>
      <c r="T84" s="6">
        <v>3</v>
      </c>
    </row>
    <row r="85" spans="1:20" x14ac:dyDescent="0.25">
      <c r="A85" s="6">
        <v>84</v>
      </c>
      <c r="B85" s="7" t="s">
        <v>91</v>
      </c>
      <c r="C85" s="2" t="s">
        <v>13</v>
      </c>
      <c r="D85" s="6" t="s">
        <v>22</v>
      </c>
      <c r="E85" s="6">
        <v>10</v>
      </c>
      <c r="F85" s="121" t="s">
        <v>53</v>
      </c>
      <c r="G85" s="121" t="s">
        <v>14</v>
      </c>
      <c r="H85" s="122" t="s">
        <v>69</v>
      </c>
      <c r="I85" s="122" t="s">
        <v>7</v>
      </c>
      <c r="J85" s="122" t="s">
        <v>41</v>
      </c>
      <c r="K85" s="122" t="s">
        <v>90</v>
      </c>
      <c r="L85" s="122" t="s">
        <v>79</v>
      </c>
      <c r="M85" s="122" t="s">
        <v>16</v>
      </c>
      <c r="N85" s="122" t="s">
        <v>17</v>
      </c>
      <c r="O85" s="122" t="s">
        <v>11</v>
      </c>
      <c r="P85" s="2">
        <v>8</v>
      </c>
      <c r="Q85" s="11"/>
      <c r="R85" s="178"/>
      <c r="S85" s="10" t="s">
        <v>2</v>
      </c>
      <c r="T85" s="6"/>
    </row>
    <row r="86" spans="1:20" x14ac:dyDescent="0.25">
      <c r="A86" s="6">
        <v>85</v>
      </c>
      <c r="B86" s="7" t="s">
        <v>91</v>
      </c>
      <c r="C86" s="2" t="s">
        <v>13</v>
      </c>
      <c r="D86" s="6" t="s">
        <v>22</v>
      </c>
      <c r="E86" s="6">
        <v>10</v>
      </c>
      <c r="F86" s="121" t="s">
        <v>7</v>
      </c>
      <c r="G86" s="121" t="s">
        <v>11</v>
      </c>
      <c r="H86" s="122" t="s">
        <v>69</v>
      </c>
      <c r="I86" s="122" t="s">
        <v>41</v>
      </c>
      <c r="J86" s="122" t="s">
        <v>90</v>
      </c>
      <c r="K86" s="122" t="s">
        <v>79</v>
      </c>
      <c r="L86" s="122" t="s">
        <v>16</v>
      </c>
      <c r="M86" s="122" t="s">
        <v>17</v>
      </c>
      <c r="N86" s="122" t="s">
        <v>53</v>
      </c>
      <c r="O86" s="122" t="s">
        <v>14</v>
      </c>
      <c r="P86" s="2">
        <v>4</v>
      </c>
      <c r="Q86" s="11" t="s">
        <v>2</v>
      </c>
      <c r="R86" s="178"/>
      <c r="S86" s="10"/>
      <c r="T86" s="6"/>
    </row>
    <row r="87" spans="1:20" x14ac:dyDescent="0.25">
      <c r="A87" s="6">
        <v>86</v>
      </c>
      <c r="B87" s="7" t="s">
        <v>91</v>
      </c>
      <c r="C87" s="2" t="s">
        <v>15</v>
      </c>
      <c r="D87" s="6" t="s">
        <v>22</v>
      </c>
      <c r="E87" s="6">
        <v>10</v>
      </c>
      <c r="F87" s="121" t="s">
        <v>79</v>
      </c>
      <c r="G87" s="121" t="s">
        <v>16</v>
      </c>
      <c r="H87" s="122" t="s">
        <v>69</v>
      </c>
      <c r="I87" s="122" t="s">
        <v>7</v>
      </c>
      <c r="J87" s="122" t="s">
        <v>41</v>
      </c>
      <c r="K87" s="122" t="s">
        <v>90</v>
      </c>
      <c r="L87" s="122" t="s">
        <v>17</v>
      </c>
      <c r="M87" s="122" t="s">
        <v>11</v>
      </c>
      <c r="N87" s="122" t="s">
        <v>53</v>
      </c>
      <c r="O87" s="122" t="s">
        <v>14</v>
      </c>
      <c r="P87" s="2">
        <v>4</v>
      </c>
      <c r="Q87" s="11" t="s">
        <v>2</v>
      </c>
      <c r="R87" s="178"/>
      <c r="S87" s="10"/>
      <c r="T87" s="6">
        <v>3</v>
      </c>
    </row>
    <row r="88" spans="1:20" x14ac:dyDescent="0.25">
      <c r="A88" s="6">
        <v>87</v>
      </c>
      <c r="B88" s="7" t="s">
        <v>91</v>
      </c>
      <c r="C88" s="2" t="s">
        <v>13</v>
      </c>
      <c r="D88" s="6" t="s">
        <v>22</v>
      </c>
      <c r="E88" s="6">
        <v>10</v>
      </c>
      <c r="F88" s="121" t="s">
        <v>41</v>
      </c>
      <c r="G88" s="121" t="s">
        <v>79</v>
      </c>
      <c r="H88" s="122" t="s">
        <v>69</v>
      </c>
      <c r="I88" s="122" t="s">
        <v>7</v>
      </c>
      <c r="J88" s="122" t="s">
        <v>90</v>
      </c>
      <c r="K88" s="122" t="s">
        <v>16</v>
      </c>
      <c r="L88" s="122" t="s">
        <v>17</v>
      </c>
      <c r="M88" s="122" t="s">
        <v>11</v>
      </c>
      <c r="N88" s="122" t="s">
        <v>53</v>
      </c>
      <c r="O88" s="122" t="s">
        <v>14</v>
      </c>
      <c r="P88" s="2">
        <v>5</v>
      </c>
      <c r="Q88" s="11" t="s">
        <v>2</v>
      </c>
      <c r="R88" s="178"/>
      <c r="S88" s="10"/>
      <c r="T88" s="6"/>
    </row>
    <row r="89" spans="1:20" x14ac:dyDescent="0.25">
      <c r="A89" s="6">
        <v>88</v>
      </c>
      <c r="B89" s="7" t="s">
        <v>91</v>
      </c>
      <c r="C89" s="2" t="s">
        <v>13</v>
      </c>
      <c r="D89" s="6" t="s">
        <v>22</v>
      </c>
      <c r="E89" s="6">
        <v>10</v>
      </c>
      <c r="F89" s="121" t="s">
        <v>90</v>
      </c>
      <c r="G89" s="121" t="s">
        <v>14</v>
      </c>
      <c r="H89" s="122" t="s">
        <v>69</v>
      </c>
      <c r="I89" s="122" t="s">
        <v>7</v>
      </c>
      <c r="J89" s="122" t="s">
        <v>41</v>
      </c>
      <c r="K89" s="122" t="s">
        <v>79</v>
      </c>
      <c r="L89" s="122" t="s">
        <v>16</v>
      </c>
      <c r="M89" s="122" t="s">
        <v>17</v>
      </c>
      <c r="N89" s="122" t="s">
        <v>11</v>
      </c>
      <c r="O89" s="122" t="s">
        <v>53</v>
      </c>
      <c r="P89" s="2">
        <v>8</v>
      </c>
      <c r="Q89" s="11"/>
      <c r="R89" s="178"/>
      <c r="S89" s="10" t="s">
        <v>2</v>
      </c>
      <c r="T89" s="6"/>
    </row>
    <row r="90" spans="1:20" x14ac:dyDescent="0.25">
      <c r="A90" s="6">
        <v>89</v>
      </c>
      <c r="B90" s="7" t="s">
        <v>91</v>
      </c>
      <c r="C90" s="2" t="s">
        <v>13</v>
      </c>
      <c r="D90" s="6" t="s">
        <v>22</v>
      </c>
      <c r="E90" s="6">
        <v>10</v>
      </c>
      <c r="F90" s="121" t="s">
        <v>11</v>
      </c>
      <c r="G90" s="121" t="s">
        <v>17</v>
      </c>
      <c r="H90" s="122" t="s">
        <v>69</v>
      </c>
      <c r="I90" s="122" t="s">
        <v>7</v>
      </c>
      <c r="J90" s="122" t="s">
        <v>41</v>
      </c>
      <c r="K90" s="122" t="s">
        <v>90</v>
      </c>
      <c r="L90" s="122" t="s">
        <v>79</v>
      </c>
      <c r="M90" s="122" t="s">
        <v>16</v>
      </c>
      <c r="N90" s="122" t="s">
        <v>53</v>
      </c>
      <c r="O90" s="122" t="s">
        <v>14</v>
      </c>
      <c r="P90" s="2">
        <v>8</v>
      </c>
      <c r="Q90" s="11"/>
      <c r="R90" s="178"/>
      <c r="S90" s="10" t="s">
        <v>2</v>
      </c>
      <c r="T90" s="6"/>
    </row>
    <row r="91" spans="1:20" x14ac:dyDescent="0.25">
      <c r="A91" s="6">
        <v>90</v>
      </c>
      <c r="B91" s="7" t="s">
        <v>91</v>
      </c>
      <c r="C91" s="2" t="s">
        <v>15</v>
      </c>
      <c r="D91" s="6" t="s">
        <v>22</v>
      </c>
      <c r="E91" s="6">
        <v>10</v>
      </c>
      <c r="F91" s="121" t="s">
        <v>90</v>
      </c>
      <c r="G91" s="121" t="s">
        <v>16</v>
      </c>
      <c r="H91" s="122" t="s">
        <v>69</v>
      </c>
      <c r="I91" s="122" t="s">
        <v>7</v>
      </c>
      <c r="J91" s="122" t="s">
        <v>41</v>
      </c>
      <c r="K91" s="122" t="s">
        <v>79</v>
      </c>
      <c r="L91" s="122" t="s">
        <v>17</v>
      </c>
      <c r="M91" s="122" t="s">
        <v>11</v>
      </c>
      <c r="N91" s="122" t="s">
        <v>53</v>
      </c>
      <c r="O91" s="122" t="s">
        <v>14</v>
      </c>
      <c r="P91" s="2">
        <v>6</v>
      </c>
      <c r="Q91" s="11"/>
      <c r="R91" s="178" t="s">
        <v>2</v>
      </c>
      <c r="S91" s="10"/>
      <c r="T91" s="6">
        <v>3</v>
      </c>
    </row>
    <row r="92" spans="1:20" x14ac:dyDescent="0.25">
      <c r="A92" s="6">
        <v>91</v>
      </c>
      <c r="B92" s="7" t="s">
        <v>92</v>
      </c>
      <c r="C92" s="2" t="s">
        <v>13</v>
      </c>
      <c r="D92" s="6" t="s">
        <v>22</v>
      </c>
      <c r="E92" s="6">
        <v>9</v>
      </c>
      <c r="F92" s="121" t="s">
        <v>53</v>
      </c>
      <c r="G92" s="121" t="s">
        <v>14</v>
      </c>
      <c r="H92" s="122" t="s">
        <v>7</v>
      </c>
      <c r="I92" s="122" t="s">
        <v>41</v>
      </c>
      <c r="J92" s="122" t="s">
        <v>40</v>
      </c>
      <c r="K92" s="122" t="s">
        <v>16</v>
      </c>
      <c r="L92" s="122" t="s">
        <v>17</v>
      </c>
      <c r="M92" s="122" t="s">
        <v>12</v>
      </c>
      <c r="N92" s="122" t="s">
        <v>11</v>
      </c>
      <c r="O92" s="122"/>
      <c r="P92" s="2">
        <v>9</v>
      </c>
      <c r="Q92" s="11"/>
      <c r="R92" s="295"/>
      <c r="S92" s="10" t="s">
        <v>2</v>
      </c>
      <c r="T92" s="6"/>
    </row>
    <row r="93" spans="1:20" x14ac:dyDescent="0.25">
      <c r="A93" s="6">
        <v>92</v>
      </c>
      <c r="B93" s="7" t="s">
        <v>92</v>
      </c>
      <c r="C93" s="2" t="s">
        <v>13</v>
      </c>
      <c r="D93" s="6" t="s">
        <v>22</v>
      </c>
      <c r="E93" s="6">
        <v>10</v>
      </c>
      <c r="F93" s="121" t="s">
        <v>16</v>
      </c>
      <c r="G93" s="121" t="s">
        <v>12</v>
      </c>
      <c r="H93" s="122" t="s">
        <v>8</v>
      </c>
      <c r="I93" s="122" t="s">
        <v>7</v>
      </c>
      <c r="J93" s="122" t="s">
        <v>41</v>
      </c>
      <c r="K93" s="122" t="s">
        <v>40</v>
      </c>
      <c r="L93" s="122" t="s">
        <v>17</v>
      </c>
      <c r="M93" s="122" t="s">
        <v>11</v>
      </c>
      <c r="N93" s="122" t="s">
        <v>53</v>
      </c>
      <c r="O93" s="122" t="s">
        <v>14</v>
      </c>
      <c r="P93" s="2">
        <v>4</v>
      </c>
      <c r="Q93" s="11"/>
      <c r="R93" s="295" t="s">
        <v>2</v>
      </c>
      <c r="S93" s="10"/>
      <c r="T93" s="6">
        <v>2</v>
      </c>
    </row>
    <row r="94" spans="1:20" x14ac:dyDescent="0.25">
      <c r="A94" s="6">
        <v>93</v>
      </c>
      <c r="B94" s="7" t="s">
        <v>92</v>
      </c>
      <c r="C94" s="2" t="s">
        <v>13</v>
      </c>
      <c r="D94" s="6" t="s">
        <v>22</v>
      </c>
      <c r="E94" s="6">
        <v>9</v>
      </c>
      <c r="F94" s="121" t="s">
        <v>7</v>
      </c>
      <c r="G94" s="121" t="s">
        <v>53</v>
      </c>
      <c r="H94" s="122" t="s">
        <v>8</v>
      </c>
      <c r="I94" s="122" t="s">
        <v>41</v>
      </c>
      <c r="J94" s="122" t="s">
        <v>40</v>
      </c>
      <c r="K94" s="122" t="s">
        <v>16</v>
      </c>
      <c r="L94" s="122" t="s">
        <v>11</v>
      </c>
      <c r="M94" s="122" t="s">
        <v>12</v>
      </c>
      <c r="N94" s="122" t="s">
        <v>14</v>
      </c>
      <c r="O94" s="122"/>
      <c r="P94" s="2">
        <v>5</v>
      </c>
      <c r="Q94" s="11" t="s">
        <v>2</v>
      </c>
      <c r="R94" s="295"/>
      <c r="S94" s="10"/>
      <c r="T94" s="6"/>
    </row>
    <row r="95" spans="1:20" x14ac:dyDescent="0.25">
      <c r="A95" s="6">
        <v>94</v>
      </c>
      <c r="B95" s="7" t="s">
        <v>92</v>
      </c>
      <c r="C95" s="2" t="s">
        <v>13</v>
      </c>
      <c r="D95" s="6" t="s">
        <v>22</v>
      </c>
      <c r="E95" s="6">
        <v>9</v>
      </c>
      <c r="F95" s="121" t="s">
        <v>8</v>
      </c>
      <c r="G95" s="121" t="s">
        <v>41</v>
      </c>
      <c r="H95" s="122" t="s">
        <v>7</v>
      </c>
      <c r="I95" s="122" t="s">
        <v>40</v>
      </c>
      <c r="J95" s="122" t="s">
        <v>16</v>
      </c>
      <c r="K95" s="122" t="s">
        <v>11</v>
      </c>
      <c r="L95" s="122" t="s">
        <v>12</v>
      </c>
      <c r="M95" s="122" t="s">
        <v>53</v>
      </c>
      <c r="N95" s="122" t="s">
        <v>14</v>
      </c>
      <c r="O95" s="122"/>
      <c r="P95" s="2">
        <v>9</v>
      </c>
      <c r="Q95" s="11"/>
      <c r="R95" s="295"/>
      <c r="S95" s="10" t="s">
        <v>2</v>
      </c>
      <c r="T95" s="6"/>
    </row>
    <row r="96" spans="1:20" x14ac:dyDescent="0.25">
      <c r="A96" s="6">
        <v>95</v>
      </c>
      <c r="B96" s="7" t="s">
        <v>92</v>
      </c>
      <c r="C96" s="2" t="s">
        <v>13</v>
      </c>
      <c r="D96" s="6" t="s">
        <v>22</v>
      </c>
      <c r="E96" s="6">
        <v>9</v>
      </c>
      <c r="F96" s="121" t="s">
        <v>8</v>
      </c>
      <c r="G96" s="121" t="s">
        <v>12</v>
      </c>
      <c r="H96" s="122" t="s">
        <v>7</v>
      </c>
      <c r="I96" s="122" t="s">
        <v>41</v>
      </c>
      <c r="J96" s="122" t="s">
        <v>40</v>
      </c>
      <c r="K96" s="122" t="s">
        <v>16</v>
      </c>
      <c r="L96" s="122" t="s">
        <v>11</v>
      </c>
      <c r="M96" s="122" t="s">
        <v>53</v>
      </c>
      <c r="N96" s="122" t="s">
        <v>14</v>
      </c>
      <c r="O96" s="122"/>
      <c r="P96" s="2">
        <v>4</v>
      </c>
      <c r="Q96" s="11" t="s">
        <v>2</v>
      </c>
      <c r="R96" s="295"/>
      <c r="S96" s="10"/>
      <c r="T96" s="6"/>
    </row>
    <row r="97" spans="1:20" x14ac:dyDescent="0.25">
      <c r="A97" s="6">
        <v>96</v>
      </c>
      <c r="B97" s="7" t="s">
        <v>92</v>
      </c>
      <c r="C97" s="2" t="s">
        <v>15</v>
      </c>
      <c r="D97" s="6" t="s">
        <v>22</v>
      </c>
      <c r="E97" s="6">
        <v>9</v>
      </c>
      <c r="F97" s="121" t="s">
        <v>7</v>
      </c>
      <c r="G97" s="121" t="s">
        <v>41</v>
      </c>
      <c r="H97" s="122" t="s">
        <v>8</v>
      </c>
      <c r="I97" s="122" t="s">
        <v>40</v>
      </c>
      <c r="J97" s="122" t="s">
        <v>16</v>
      </c>
      <c r="K97" s="122" t="s">
        <v>11</v>
      </c>
      <c r="L97" s="122" t="s">
        <v>12</v>
      </c>
      <c r="M97" s="122" t="s">
        <v>53</v>
      </c>
      <c r="N97" s="122" t="s">
        <v>14</v>
      </c>
      <c r="O97" s="122"/>
      <c r="P97" s="2">
        <v>8</v>
      </c>
      <c r="Q97" s="11"/>
      <c r="R97" s="295"/>
      <c r="S97" s="10" t="s">
        <v>2</v>
      </c>
      <c r="T97" s="6"/>
    </row>
    <row r="98" spans="1:20" x14ac:dyDescent="0.25">
      <c r="A98" s="6">
        <v>97</v>
      </c>
      <c r="B98" s="7" t="s">
        <v>92</v>
      </c>
      <c r="C98" s="2" t="s">
        <v>13</v>
      </c>
      <c r="D98" s="6" t="s">
        <v>22</v>
      </c>
      <c r="E98" s="6">
        <v>9</v>
      </c>
      <c r="F98" s="121" t="s">
        <v>7</v>
      </c>
      <c r="G98" s="121" t="s">
        <v>14</v>
      </c>
      <c r="H98" s="122" t="s">
        <v>8</v>
      </c>
      <c r="I98" s="122" t="s">
        <v>41</v>
      </c>
      <c r="J98" s="122" t="s">
        <v>40</v>
      </c>
      <c r="K98" s="122" t="s">
        <v>16</v>
      </c>
      <c r="L98" s="122" t="s">
        <v>11</v>
      </c>
      <c r="M98" s="122" t="s">
        <v>12</v>
      </c>
      <c r="N98" s="122" t="s">
        <v>53</v>
      </c>
      <c r="O98" s="122"/>
      <c r="P98" s="2">
        <v>3</v>
      </c>
      <c r="Q98" s="11" t="s">
        <v>2</v>
      </c>
      <c r="R98" s="295"/>
      <c r="S98" s="10"/>
      <c r="T98" s="6"/>
    </row>
    <row r="99" spans="1:20" x14ac:dyDescent="0.25">
      <c r="A99" s="6">
        <v>98</v>
      </c>
      <c r="B99" s="7" t="s">
        <v>92</v>
      </c>
      <c r="C99" s="2" t="s">
        <v>13</v>
      </c>
      <c r="D99" s="6" t="s">
        <v>24</v>
      </c>
      <c r="E99" s="6">
        <v>10</v>
      </c>
      <c r="F99" s="121" t="s">
        <v>41</v>
      </c>
      <c r="G99" s="121" t="s">
        <v>66</v>
      </c>
      <c r="H99" s="122" t="s">
        <v>8</v>
      </c>
      <c r="I99" s="122" t="s">
        <v>7</v>
      </c>
      <c r="J99" s="122" t="s">
        <v>40</v>
      </c>
      <c r="K99" s="122" t="s">
        <v>16</v>
      </c>
      <c r="L99" s="122" t="s">
        <v>11</v>
      </c>
      <c r="M99" s="122" t="s">
        <v>12</v>
      </c>
      <c r="N99" s="122" t="s">
        <v>53</v>
      </c>
      <c r="O99" s="122" t="s">
        <v>14</v>
      </c>
      <c r="P99" s="2">
        <v>2</v>
      </c>
      <c r="Q99" s="11" t="s">
        <v>2</v>
      </c>
      <c r="R99" s="295"/>
      <c r="S99" s="10"/>
      <c r="T99" s="6"/>
    </row>
    <row r="100" spans="1:20" x14ac:dyDescent="0.25">
      <c r="A100" s="6">
        <v>99</v>
      </c>
      <c r="B100" s="7" t="s">
        <v>92</v>
      </c>
      <c r="C100" s="2" t="s">
        <v>13</v>
      </c>
      <c r="D100" s="6" t="s">
        <v>24</v>
      </c>
      <c r="E100" s="6">
        <v>10</v>
      </c>
      <c r="F100" s="121" t="s">
        <v>8</v>
      </c>
      <c r="G100" s="121" t="s">
        <v>40</v>
      </c>
      <c r="H100" s="122" t="s">
        <v>7</v>
      </c>
      <c r="I100" s="122" t="s">
        <v>41</v>
      </c>
      <c r="J100" s="122" t="s">
        <v>16</v>
      </c>
      <c r="K100" s="122" t="s">
        <v>12</v>
      </c>
      <c r="L100" s="122" t="s">
        <v>11</v>
      </c>
      <c r="M100" s="122" t="s">
        <v>66</v>
      </c>
      <c r="N100" s="122" t="s">
        <v>53</v>
      </c>
      <c r="O100" s="122" t="s">
        <v>14</v>
      </c>
      <c r="P100" s="2">
        <v>6</v>
      </c>
      <c r="Q100" s="11"/>
      <c r="R100" s="295"/>
      <c r="S100" s="10" t="s">
        <v>2</v>
      </c>
      <c r="T100" s="6"/>
    </row>
    <row r="101" spans="1:20" x14ac:dyDescent="0.25">
      <c r="A101" s="6">
        <v>100</v>
      </c>
      <c r="B101" s="7" t="s">
        <v>92</v>
      </c>
      <c r="C101" s="2" t="s">
        <v>13</v>
      </c>
      <c r="D101" s="6" t="s">
        <v>24</v>
      </c>
      <c r="E101" s="6">
        <v>10</v>
      </c>
      <c r="F101" s="121" t="s">
        <v>40</v>
      </c>
      <c r="G101" s="121" t="s">
        <v>14</v>
      </c>
      <c r="H101" s="122" t="s">
        <v>8</v>
      </c>
      <c r="I101" s="122" t="s">
        <v>7</v>
      </c>
      <c r="J101" s="122" t="s">
        <v>41</v>
      </c>
      <c r="K101" s="122" t="s">
        <v>16</v>
      </c>
      <c r="L101" s="122" t="s">
        <v>12</v>
      </c>
      <c r="M101" s="122" t="s">
        <v>11</v>
      </c>
      <c r="N101" s="122" t="s">
        <v>66</v>
      </c>
      <c r="O101" s="122" t="s">
        <v>53</v>
      </c>
      <c r="P101" s="2">
        <v>4</v>
      </c>
      <c r="Q101" s="11" t="s">
        <v>2</v>
      </c>
      <c r="R101" s="295"/>
      <c r="S101" s="10"/>
      <c r="T101" s="6"/>
    </row>
    <row r="102" spans="1:20" x14ac:dyDescent="0.25">
      <c r="A102" s="6">
        <v>101</v>
      </c>
      <c r="B102" s="7" t="s">
        <v>92</v>
      </c>
      <c r="C102" s="2" t="s">
        <v>13</v>
      </c>
      <c r="D102" s="6" t="s">
        <v>24</v>
      </c>
      <c r="E102" s="6">
        <v>10</v>
      </c>
      <c r="F102" s="121" t="s">
        <v>40</v>
      </c>
      <c r="G102" s="121" t="s">
        <v>12</v>
      </c>
      <c r="H102" s="122" t="s">
        <v>8</v>
      </c>
      <c r="I102" s="122" t="s">
        <v>7</v>
      </c>
      <c r="J102" s="122" t="s">
        <v>41</v>
      </c>
      <c r="K102" s="122" t="s">
        <v>16</v>
      </c>
      <c r="L102" s="122" t="s">
        <v>11</v>
      </c>
      <c r="M102" s="122" t="s">
        <v>66</v>
      </c>
      <c r="N102" s="122" t="s">
        <v>53</v>
      </c>
      <c r="O102" s="122" t="s">
        <v>14</v>
      </c>
      <c r="P102" s="2">
        <v>5</v>
      </c>
      <c r="Q102" s="11" t="s">
        <v>2</v>
      </c>
      <c r="R102" s="295"/>
      <c r="S102" s="10"/>
      <c r="T102" s="6"/>
    </row>
    <row r="103" spans="1:20" x14ac:dyDescent="0.25">
      <c r="A103" s="6">
        <v>102</v>
      </c>
      <c r="B103" s="7" t="s">
        <v>93</v>
      </c>
      <c r="C103" s="2" t="s">
        <v>13</v>
      </c>
      <c r="D103" s="6" t="s">
        <v>22</v>
      </c>
      <c r="E103" s="6">
        <v>10</v>
      </c>
      <c r="F103" s="121" t="s">
        <v>53</v>
      </c>
      <c r="G103" s="121" t="s">
        <v>14</v>
      </c>
      <c r="H103" s="122" t="s">
        <v>69</v>
      </c>
      <c r="I103" s="122" t="s">
        <v>8</v>
      </c>
      <c r="J103" s="122" t="s">
        <v>7</v>
      </c>
      <c r="K103" s="122" t="s">
        <v>41</v>
      </c>
      <c r="L103" s="122" t="s">
        <v>40</v>
      </c>
      <c r="M103" s="122" t="s">
        <v>16</v>
      </c>
      <c r="N103" s="122" t="s">
        <v>17</v>
      </c>
      <c r="O103" s="122" t="s">
        <v>11</v>
      </c>
      <c r="P103" s="2">
        <v>5</v>
      </c>
      <c r="Q103" s="11" t="s">
        <v>2</v>
      </c>
      <c r="R103" s="311"/>
      <c r="S103" s="10"/>
      <c r="T103" s="6"/>
    </row>
    <row r="104" spans="1:20" x14ac:dyDescent="0.25">
      <c r="A104" s="6">
        <v>103</v>
      </c>
      <c r="B104" s="7" t="s">
        <v>93</v>
      </c>
      <c r="C104" s="2" t="s">
        <v>13</v>
      </c>
      <c r="D104" s="6" t="s">
        <v>22</v>
      </c>
      <c r="E104" s="6">
        <v>10</v>
      </c>
      <c r="F104" s="121" t="s">
        <v>69</v>
      </c>
      <c r="G104" s="121" t="s">
        <v>7</v>
      </c>
      <c r="H104" s="122" t="s">
        <v>8</v>
      </c>
      <c r="I104" s="122" t="s">
        <v>41</v>
      </c>
      <c r="J104" s="122" t="s">
        <v>40</v>
      </c>
      <c r="K104" s="122" t="s">
        <v>16</v>
      </c>
      <c r="L104" s="122" t="s">
        <v>17</v>
      </c>
      <c r="M104" s="122" t="s">
        <v>11</v>
      </c>
      <c r="N104" s="122" t="s">
        <v>53</v>
      </c>
      <c r="O104" s="122" t="s">
        <v>14</v>
      </c>
      <c r="P104" s="2">
        <v>4</v>
      </c>
      <c r="Q104" s="11"/>
      <c r="R104" s="311"/>
      <c r="S104" s="10" t="s">
        <v>2</v>
      </c>
      <c r="T104" s="6"/>
    </row>
    <row r="105" spans="1:20" x14ac:dyDescent="0.25">
      <c r="A105" s="6">
        <v>104</v>
      </c>
      <c r="B105" s="7" t="s">
        <v>93</v>
      </c>
      <c r="C105" s="2" t="s">
        <v>13</v>
      </c>
      <c r="D105" s="6" t="s">
        <v>22</v>
      </c>
      <c r="E105" s="6">
        <v>10</v>
      </c>
      <c r="F105" s="121" t="s">
        <v>69</v>
      </c>
      <c r="G105" s="121" t="s">
        <v>11</v>
      </c>
      <c r="H105" s="122" t="s">
        <v>8</v>
      </c>
      <c r="I105" s="122" t="s">
        <v>7</v>
      </c>
      <c r="J105" s="122" t="s">
        <v>41</v>
      </c>
      <c r="K105" s="122" t="s">
        <v>16</v>
      </c>
      <c r="L105" s="122" t="s">
        <v>17</v>
      </c>
      <c r="M105" s="122" t="s">
        <v>12</v>
      </c>
      <c r="N105" s="122" t="s">
        <v>53</v>
      </c>
      <c r="O105" s="122" t="s">
        <v>14</v>
      </c>
      <c r="P105" s="2">
        <v>9</v>
      </c>
      <c r="Q105" s="11"/>
      <c r="R105" s="311" t="s">
        <v>2</v>
      </c>
      <c r="S105" s="10"/>
      <c r="T105" s="6"/>
    </row>
    <row r="106" spans="1:20" x14ac:dyDescent="0.25">
      <c r="A106" s="6">
        <v>105</v>
      </c>
      <c r="B106" s="7" t="s">
        <v>93</v>
      </c>
      <c r="C106" s="2" t="s">
        <v>13</v>
      </c>
      <c r="D106" s="6" t="s">
        <v>22</v>
      </c>
      <c r="E106" s="6">
        <v>10</v>
      </c>
      <c r="F106" s="121" t="s">
        <v>69</v>
      </c>
      <c r="G106" s="121" t="s">
        <v>40</v>
      </c>
      <c r="H106" s="122" t="s">
        <v>8</v>
      </c>
      <c r="I106" s="122" t="s">
        <v>7</v>
      </c>
      <c r="J106" s="122" t="s">
        <v>41</v>
      </c>
      <c r="K106" s="122" t="s">
        <v>16</v>
      </c>
      <c r="L106" s="122" t="s">
        <v>17</v>
      </c>
      <c r="M106" s="122" t="s">
        <v>11</v>
      </c>
      <c r="N106" s="122" t="s">
        <v>53</v>
      </c>
      <c r="O106" s="122" t="s">
        <v>14</v>
      </c>
      <c r="P106" s="2">
        <v>8</v>
      </c>
      <c r="Q106" s="11" t="s">
        <v>2</v>
      </c>
      <c r="R106" s="311"/>
      <c r="S106" s="10"/>
      <c r="T106" s="6"/>
    </row>
    <row r="107" spans="1:20" x14ac:dyDescent="0.25">
      <c r="A107" s="6">
        <v>106</v>
      </c>
      <c r="B107" s="7" t="s">
        <v>93</v>
      </c>
      <c r="C107" s="2" t="s">
        <v>13</v>
      </c>
      <c r="D107" s="6" t="s">
        <v>22</v>
      </c>
      <c r="E107" s="6">
        <v>10</v>
      </c>
      <c r="F107" s="121" t="s">
        <v>69</v>
      </c>
      <c r="G107" s="121" t="s">
        <v>40</v>
      </c>
      <c r="H107" s="122" t="s">
        <v>8</v>
      </c>
      <c r="I107" s="122" t="s">
        <v>7</v>
      </c>
      <c r="J107" s="122" t="s">
        <v>41</v>
      </c>
      <c r="K107" s="122" t="s">
        <v>16</v>
      </c>
      <c r="L107" s="122" t="s">
        <v>17</v>
      </c>
      <c r="M107" s="122" t="s">
        <v>11</v>
      </c>
      <c r="N107" s="122" t="s">
        <v>53</v>
      </c>
      <c r="O107" s="122" t="s">
        <v>14</v>
      </c>
      <c r="P107" s="2">
        <v>9</v>
      </c>
      <c r="Q107" s="11"/>
      <c r="R107" s="311"/>
      <c r="S107" s="10" t="s">
        <v>2</v>
      </c>
      <c r="T107" s="6"/>
    </row>
    <row r="108" spans="1:20" x14ac:dyDescent="0.25">
      <c r="A108" s="6">
        <v>107</v>
      </c>
      <c r="B108" s="7" t="s">
        <v>93</v>
      </c>
      <c r="C108" s="2" t="s">
        <v>13</v>
      </c>
      <c r="D108" s="6" t="s">
        <v>22</v>
      </c>
      <c r="E108" s="6">
        <v>10</v>
      </c>
      <c r="F108" s="121" t="s">
        <v>8</v>
      </c>
      <c r="G108" s="121" t="s">
        <v>40</v>
      </c>
      <c r="H108" s="122" t="s">
        <v>69</v>
      </c>
      <c r="I108" s="122" t="s">
        <v>7</v>
      </c>
      <c r="J108" s="122" t="s">
        <v>41</v>
      </c>
      <c r="K108" s="122" t="s">
        <v>16</v>
      </c>
      <c r="L108" s="122" t="s">
        <v>17</v>
      </c>
      <c r="M108" s="122" t="s">
        <v>11</v>
      </c>
      <c r="N108" s="122" t="s">
        <v>53</v>
      </c>
      <c r="O108" s="122" t="s">
        <v>14</v>
      </c>
      <c r="P108" s="2">
        <v>8</v>
      </c>
      <c r="Q108" s="11"/>
      <c r="R108" s="311"/>
      <c r="S108" s="10" t="s">
        <v>2</v>
      </c>
      <c r="T108" s="6"/>
    </row>
    <row r="109" spans="1:20" x14ac:dyDescent="0.25">
      <c r="A109" s="6">
        <v>108</v>
      </c>
      <c r="B109" s="7" t="s">
        <v>93</v>
      </c>
      <c r="C109" s="2" t="s">
        <v>13</v>
      </c>
      <c r="D109" s="6" t="s">
        <v>22</v>
      </c>
      <c r="E109" s="6">
        <v>10</v>
      </c>
      <c r="F109" s="121" t="s">
        <v>8</v>
      </c>
      <c r="G109" s="121" t="s">
        <v>41</v>
      </c>
      <c r="H109" s="122" t="s">
        <v>69</v>
      </c>
      <c r="I109" s="122" t="s">
        <v>7</v>
      </c>
      <c r="J109" s="122" t="s">
        <v>40</v>
      </c>
      <c r="K109" s="122" t="s">
        <v>16</v>
      </c>
      <c r="L109" s="122" t="s">
        <v>17</v>
      </c>
      <c r="M109" s="122" t="s">
        <v>11</v>
      </c>
      <c r="N109" s="122" t="s">
        <v>66</v>
      </c>
      <c r="O109" s="122" t="s">
        <v>14</v>
      </c>
      <c r="P109" s="2">
        <v>9</v>
      </c>
      <c r="Q109" s="11"/>
      <c r="R109" s="311"/>
      <c r="S109" s="10" t="s">
        <v>2</v>
      </c>
      <c r="T109" s="6"/>
    </row>
    <row r="110" spans="1:20" x14ac:dyDescent="0.25">
      <c r="A110" s="6">
        <v>109</v>
      </c>
      <c r="B110" s="7" t="s">
        <v>93</v>
      </c>
      <c r="C110" s="2" t="s">
        <v>13</v>
      </c>
      <c r="D110" s="6" t="s">
        <v>24</v>
      </c>
      <c r="E110" s="6">
        <v>10</v>
      </c>
      <c r="F110" s="121" t="s">
        <v>8</v>
      </c>
      <c r="G110" s="121" t="s">
        <v>11</v>
      </c>
      <c r="H110" s="122" t="s">
        <v>69</v>
      </c>
      <c r="I110" s="122" t="s">
        <v>7</v>
      </c>
      <c r="J110" s="122" t="s">
        <v>41</v>
      </c>
      <c r="K110" s="122" t="s">
        <v>40</v>
      </c>
      <c r="L110" s="122" t="s">
        <v>16</v>
      </c>
      <c r="M110" s="122" t="s">
        <v>17</v>
      </c>
      <c r="N110" s="122" t="s">
        <v>66</v>
      </c>
      <c r="O110" s="122" t="s">
        <v>14</v>
      </c>
      <c r="P110" s="2">
        <v>5</v>
      </c>
      <c r="Q110" s="11"/>
      <c r="R110" s="311"/>
      <c r="S110" s="10" t="s">
        <v>2</v>
      </c>
      <c r="T110" s="6"/>
    </row>
    <row r="111" spans="1:20" x14ac:dyDescent="0.25">
      <c r="A111" s="6">
        <v>110</v>
      </c>
      <c r="B111" s="7" t="s">
        <v>93</v>
      </c>
      <c r="C111" s="2" t="s">
        <v>15</v>
      </c>
      <c r="D111" s="6" t="s">
        <v>24</v>
      </c>
      <c r="E111" s="6">
        <v>10</v>
      </c>
      <c r="F111" s="121" t="s">
        <v>8</v>
      </c>
      <c r="G111" s="121" t="s">
        <v>41</v>
      </c>
      <c r="H111" s="122" t="s">
        <v>69</v>
      </c>
      <c r="I111" s="122" t="s">
        <v>7</v>
      </c>
      <c r="J111" s="122" t="s">
        <v>40</v>
      </c>
      <c r="K111" s="122" t="s">
        <v>16</v>
      </c>
      <c r="L111" s="122" t="s">
        <v>17</v>
      </c>
      <c r="M111" s="122" t="s">
        <v>11</v>
      </c>
      <c r="N111" s="122" t="s">
        <v>66</v>
      </c>
      <c r="O111" s="122" t="s">
        <v>14</v>
      </c>
      <c r="P111" s="2">
        <v>4</v>
      </c>
      <c r="Q111" s="11" t="s">
        <v>2</v>
      </c>
      <c r="R111" s="311"/>
      <c r="S111" s="10"/>
      <c r="T111" s="6"/>
    </row>
    <row r="112" spans="1:20" x14ac:dyDescent="0.25">
      <c r="A112" s="6">
        <v>111</v>
      </c>
      <c r="B112" s="7" t="s">
        <v>93</v>
      </c>
      <c r="C112" s="2" t="s">
        <v>13</v>
      </c>
      <c r="D112" s="6" t="s">
        <v>24</v>
      </c>
      <c r="E112" s="6">
        <v>9</v>
      </c>
      <c r="F112" s="121" t="s">
        <v>8</v>
      </c>
      <c r="G112" s="121" t="s">
        <v>11</v>
      </c>
      <c r="H112" s="122" t="s">
        <v>69</v>
      </c>
      <c r="I112" s="122" t="s">
        <v>7</v>
      </c>
      <c r="J112" s="122" t="s">
        <v>16</v>
      </c>
      <c r="K112" s="122" t="s">
        <v>17</v>
      </c>
      <c r="L112" s="122" t="s">
        <v>12</v>
      </c>
      <c r="M112" s="122" t="s">
        <v>66</v>
      </c>
      <c r="N112" s="122" t="s">
        <v>14</v>
      </c>
      <c r="O112" s="122"/>
      <c r="P112" s="2">
        <v>9</v>
      </c>
      <c r="Q112" s="11"/>
      <c r="R112" s="311"/>
      <c r="S112" s="10" t="s">
        <v>2</v>
      </c>
      <c r="T112" s="6"/>
    </row>
    <row r="113" spans="1:20" x14ac:dyDescent="0.25">
      <c r="A113" s="6">
        <v>112</v>
      </c>
      <c r="B113" s="7" t="s">
        <v>94</v>
      </c>
      <c r="C113" s="2" t="s">
        <v>13</v>
      </c>
      <c r="D113" s="6" t="s">
        <v>22</v>
      </c>
      <c r="E113" s="6">
        <v>9</v>
      </c>
      <c r="F113" s="121" t="s">
        <v>7</v>
      </c>
      <c r="G113" s="121" t="s">
        <v>66</v>
      </c>
      <c r="H113" s="122" t="s">
        <v>41</v>
      </c>
      <c r="I113" s="122" t="s">
        <v>71</v>
      </c>
      <c r="J113" s="122" t="s">
        <v>79</v>
      </c>
      <c r="K113" s="122" t="s">
        <v>16</v>
      </c>
      <c r="L113" s="122" t="s">
        <v>55</v>
      </c>
      <c r="M113" s="122" t="s">
        <v>11</v>
      </c>
      <c r="N113" s="122" t="s">
        <v>53</v>
      </c>
      <c r="O113" s="122"/>
      <c r="P113" s="2">
        <v>9</v>
      </c>
      <c r="Q113" s="11"/>
      <c r="R113" s="311"/>
      <c r="S113" s="10" t="s">
        <v>2</v>
      </c>
      <c r="T113" s="6"/>
    </row>
    <row r="114" spans="1:20" x14ac:dyDescent="0.25">
      <c r="A114" s="6">
        <v>113</v>
      </c>
      <c r="B114" s="7" t="s">
        <v>94</v>
      </c>
      <c r="C114" s="2" t="s">
        <v>13</v>
      </c>
      <c r="D114" s="6" t="s">
        <v>22</v>
      </c>
      <c r="E114" s="6">
        <v>9</v>
      </c>
      <c r="F114" s="121" t="s">
        <v>41</v>
      </c>
      <c r="G114" s="121" t="s">
        <v>53</v>
      </c>
      <c r="H114" s="122" t="s">
        <v>7</v>
      </c>
      <c r="I114" s="122" t="s">
        <v>71</v>
      </c>
      <c r="J114" s="122" t="s">
        <v>79</v>
      </c>
      <c r="K114" s="122" t="s">
        <v>16</v>
      </c>
      <c r="L114" s="122" t="s">
        <v>55</v>
      </c>
      <c r="M114" s="122" t="s">
        <v>11</v>
      </c>
      <c r="N114" s="122" t="s">
        <v>66</v>
      </c>
      <c r="O114" s="122"/>
      <c r="P114" s="2">
        <v>3</v>
      </c>
      <c r="Q114" s="11" t="s">
        <v>2</v>
      </c>
      <c r="R114" s="311"/>
      <c r="S114" s="10"/>
      <c r="T114" s="6"/>
    </row>
    <row r="115" spans="1:20" x14ac:dyDescent="0.25">
      <c r="A115" s="6">
        <v>114</v>
      </c>
      <c r="B115" s="7" t="s">
        <v>94</v>
      </c>
      <c r="C115" s="2" t="s">
        <v>15</v>
      </c>
      <c r="D115" s="6" t="s">
        <v>22</v>
      </c>
      <c r="E115" s="6">
        <v>9</v>
      </c>
      <c r="F115" s="121" t="s">
        <v>16</v>
      </c>
      <c r="G115" s="121" t="s">
        <v>55</v>
      </c>
      <c r="H115" s="122" t="s">
        <v>7</v>
      </c>
      <c r="I115" s="122" t="s">
        <v>41</v>
      </c>
      <c r="J115" s="122" t="s">
        <v>71</v>
      </c>
      <c r="K115" s="122" t="s">
        <v>79</v>
      </c>
      <c r="L115" s="122" t="s">
        <v>11</v>
      </c>
      <c r="M115" s="122" t="s">
        <v>66</v>
      </c>
      <c r="N115" s="122" t="s">
        <v>53</v>
      </c>
      <c r="O115" s="122"/>
      <c r="P115" s="2">
        <v>4</v>
      </c>
      <c r="Q115" s="11" t="s">
        <v>2</v>
      </c>
      <c r="R115" s="311"/>
      <c r="S115" s="10"/>
      <c r="T115" s="6">
        <v>4</v>
      </c>
    </row>
    <row r="116" spans="1:20" x14ac:dyDescent="0.25">
      <c r="A116" s="6">
        <v>115</v>
      </c>
      <c r="B116" s="7" t="s">
        <v>94</v>
      </c>
      <c r="C116" s="2" t="s">
        <v>15</v>
      </c>
      <c r="D116" s="6" t="s">
        <v>22</v>
      </c>
      <c r="E116" s="6">
        <v>9</v>
      </c>
      <c r="F116" s="121" t="s">
        <v>71</v>
      </c>
      <c r="G116" s="121" t="s">
        <v>11</v>
      </c>
      <c r="H116" s="122" t="s">
        <v>7</v>
      </c>
      <c r="I116" s="122" t="s">
        <v>41</v>
      </c>
      <c r="J116" s="122" t="s">
        <v>79</v>
      </c>
      <c r="K116" s="122" t="s">
        <v>16</v>
      </c>
      <c r="L116" s="122" t="s">
        <v>55</v>
      </c>
      <c r="M116" s="122" t="s">
        <v>66</v>
      </c>
      <c r="N116" s="122" t="s">
        <v>53</v>
      </c>
      <c r="O116" s="122"/>
      <c r="P116" s="2">
        <v>6</v>
      </c>
      <c r="Q116" s="11"/>
      <c r="R116" s="311" t="s">
        <v>2</v>
      </c>
      <c r="S116" s="10"/>
      <c r="T116" s="6"/>
    </row>
    <row r="117" spans="1:20" x14ac:dyDescent="0.25">
      <c r="A117" s="6">
        <v>116</v>
      </c>
      <c r="B117" s="7" t="s">
        <v>94</v>
      </c>
      <c r="C117" s="2" t="s">
        <v>13</v>
      </c>
      <c r="D117" s="6" t="s">
        <v>22</v>
      </c>
      <c r="E117" s="6">
        <v>9</v>
      </c>
      <c r="F117" s="121" t="s">
        <v>7</v>
      </c>
      <c r="G117" s="121" t="s">
        <v>55</v>
      </c>
      <c r="H117" s="122" t="s">
        <v>41</v>
      </c>
      <c r="I117" s="122" t="s">
        <v>71</v>
      </c>
      <c r="J117" s="122" t="s">
        <v>79</v>
      </c>
      <c r="K117" s="122" t="s">
        <v>16</v>
      </c>
      <c r="L117" s="122" t="s">
        <v>11</v>
      </c>
      <c r="M117" s="122" t="s">
        <v>66</v>
      </c>
      <c r="N117" s="122" t="s">
        <v>53</v>
      </c>
      <c r="O117" s="122"/>
      <c r="P117" s="2">
        <v>9</v>
      </c>
      <c r="Q117" s="11"/>
      <c r="R117" s="311"/>
      <c r="S117" s="10" t="s">
        <v>2</v>
      </c>
      <c r="T117" s="6"/>
    </row>
    <row r="118" spans="1:20" x14ac:dyDescent="0.25">
      <c r="A118" s="6">
        <v>117</v>
      </c>
      <c r="B118" s="7" t="s">
        <v>94</v>
      </c>
      <c r="C118" s="2" t="s">
        <v>15</v>
      </c>
      <c r="D118" s="6" t="s">
        <v>22</v>
      </c>
      <c r="E118" s="6">
        <v>10</v>
      </c>
      <c r="F118" s="121" t="s">
        <v>71</v>
      </c>
      <c r="G118" s="121" t="s">
        <v>90</v>
      </c>
      <c r="H118" s="122" t="s">
        <v>7</v>
      </c>
      <c r="I118" s="122" t="s">
        <v>41</v>
      </c>
      <c r="J118" s="122" t="s">
        <v>79</v>
      </c>
      <c r="K118" s="122" t="s">
        <v>16</v>
      </c>
      <c r="L118" s="122" t="s">
        <v>55</v>
      </c>
      <c r="M118" s="122" t="s">
        <v>11</v>
      </c>
      <c r="N118" s="122" t="s">
        <v>66</v>
      </c>
      <c r="O118" s="122" t="s">
        <v>53</v>
      </c>
      <c r="P118" s="2">
        <v>6</v>
      </c>
      <c r="Q118" s="11"/>
      <c r="R118" s="311"/>
      <c r="S118" s="10" t="s">
        <v>2</v>
      </c>
      <c r="T118" s="6"/>
    </row>
    <row r="119" spans="1:20" x14ac:dyDescent="0.25">
      <c r="A119" s="6">
        <v>118</v>
      </c>
      <c r="B119" s="7" t="s">
        <v>94</v>
      </c>
      <c r="C119" s="2" t="s">
        <v>13</v>
      </c>
      <c r="D119" s="6" t="s">
        <v>22</v>
      </c>
      <c r="E119" s="6">
        <v>10</v>
      </c>
      <c r="F119" s="121" t="s">
        <v>11</v>
      </c>
      <c r="G119" s="121" t="s">
        <v>66</v>
      </c>
      <c r="H119" s="122" t="s">
        <v>7</v>
      </c>
      <c r="I119" s="122" t="s">
        <v>41</v>
      </c>
      <c r="J119" s="122" t="s">
        <v>71</v>
      </c>
      <c r="K119" s="122" t="s">
        <v>90</v>
      </c>
      <c r="L119" s="122" t="s">
        <v>79</v>
      </c>
      <c r="M119" s="122" t="s">
        <v>55</v>
      </c>
      <c r="N119" s="122" t="s">
        <v>16</v>
      </c>
      <c r="O119" s="122" t="s">
        <v>53</v>
      </c>
      <c r="P119" s="2">
        <v>10</v>
      </c>
      <c r="Q119" s="11"/>
      <c r="R119" s="311"/>
      <c r="S119" s="10" t="s">
        <v>2</v>
      </c>
      <c r="T119" s="6"/>
    </row>
    <row r="120" spans="1:20" x14ac:dyDescent="0.25">
      <c r="A120" s="6">
        <v>119</v>
      </c>
      <c r="B120" s="7" t="s">
        <v>94</v>
      </c>
      <c r="C120" s="2" t="s">
        <v>13</v>
      </c>
      <c r="D120" s="6" t="s">
        <v>22</v>
      </c>
      <c r="E120" s="6">
        <v>10</v>
      </c>
      <c r="F120" s="121" t="s">
        <v>90</v>
      </c>
      <c r="G120" s="121" t="s">
        <v>66</v>
      </c>
      <c r="H120" s="122" t="s">
        <v>7</v>
      </c>
      <c r="I120" s="122" t="s">
        <v>41</v>
      </c>
      <c r="J120" s="122" t="s">
        <v>71</v>
      </c>
      <c r="K120" s="122" t="s">
        <v>79</v>
      </c>
      <c r="L120" s="122" t="s">
        <v>16</v>
      </c>
      <c r="M120" s="122" t="s">
        <v>55</v>
      </c>
      <c r="N120" s="122" t="s">
        <v>11</v>
      </c>
      <c r="O120" s="122" t="s">
        <v>53</v>
      </c>
      <c r="P120" s="6">
        <v>10</v>
      </c>
      <c r="Q120" s="11"/>
      <c r="R120" s="311"/>
      <c r="S120" s="10" t="s">
        <v>2</v>
      </c>
      <c r="T120" s="6"/>
    </row>
    <row r="121" spans="1:20" x14ac:dyDescent="0.25">
      <c r="A121" s="6">
        <v>120</v>
      </c>
      <c r="B121" s="7" t="s">
        <v>94</v>
      </c>
      <c r="C121" s="2" t="s">
        <v>13</v>
      </c>
      <c r="D121" s="6" t="s">
        <v>22</v>
      </c>
      <c r="E121" s="6">
        <v>10</v>
      </c>
      <c r="F121" s="121" t="s">
        <v>71</v>
      </c>
      <c r="G121" s="121" t="s">
        <v>53</v>
      </c>
      <c r="H121" s="122" t="s">
        <v>7</v>
      </c>
      <c r="I121" s="122" t="s">
        <v>41</v>
      </c>
      <c r="J121" s="122" t="s">
        <v>90</v>
      </c>
      <c r="K121" s="122" t="s">
        <v>79</v>
      </c>
      <c r="L121" s="122" t="s">
        <v>16</v>
      </c>
      <c r="M121" s="122" t="s">
        <v>55</v>
      </c>
      <c r="N121" s="122" t="s">
        <v>11</v>
      </c>
      <c r="O121" s="122" t="s">
        <v>66</v>
      </c>
      <c r="P121" s="6">
        <v>6</v>
      </c>
      <c r="Q121" s="11" t="s">
        <v>2</v>
      </c>
      <c r="R121" s="311"/>
      <c r="S121" s="10"/>
      <c r="T121" s="6"/>
    </row>
    <row r="122" spans="1:20" x14ac:dyDescent="0.25">
      <c r="A122" s="6">
        <v>121</v>
      </c>
      <c r="B122" s="7" t="s">
        <v>94</v>
      </c>
      <c r="C122" s="2" t="s">
        <v>15</v>
      </c>
      <c r="D122" s="6" t="s">
        <v>22</v>
      </c>
      <c r="E122" s="6">
        <v>10</v>
      </c>
      <c r="F122" s="121" t="s">
        <v>41</v>
      </c>
      <c r="G122" s="121" t="s">
        <v>90</v>
      </c>
      <c r="H122" s="122" t="s">
        <v>7</v>
      </c>
      <c r="I122" s="122" t="s">
        <v>71</v>
      </c>
      <c r="J122" s="122" t="s">
        <v>79</v>
      </c>
      <c r="K122" s="122" t="s">
        <v>16</v>
      </c>
      <c r="L122" s="122" t="s">
        <v>55</v>
      </c>
      <c r="M122" s="122" t="s">
        <v>11</v>
      </c>
      <c r="N122" s="122" t="s">
        <v>66</v>
      </c>
      <c r="O122" s="122" t="s">
        <v>53</v>
      </c>
      <c r="P122" s="6">
        <v>6</v>
      </c>
      <c r="Q122" s="11"/>
      <c r="R122" s="311"/>
      <c r="S122" s="10" t="s">
        <v>2</v>
      </c>
      <c r="T122" s="6"/>
    </row>
    <row r="123" spans="1:20" x14ac:dyDescent="0.25">
      <c r="A123" s="6">
        <v>122</v>
      </c>
      <c r="B123" s="7" t="s">
        <v>94</v>
      </c>
      <c r="C123" s="2" t="s">
        <v>13</v>
      </c>
      <c r="D123" s="6" t="s">
        <v>22</v>
      </c>
      <c r="E123" s="6">
        <v>9</v>
      </c>
      <c r="F123" s="121" t="s">
        <v>41</v>
      </c>
      <c r="G123" s="121" t="s">
        <v>79</v>
      </c>
      <c r="H123" s="122" t="s">
        <v>7</v>
      </c>
      <c r="I123" s="122" t="s">
        <v>71</v>
      </c>
      <c r="J123" s="122" t="s">
        <v>90</v>
      </c>
      <c r="K123" s="122" t="s">
        <v>16</v>
      </c>
      <c r="L123" s="122" t="s">
        <v>11</v>
      </c>
      <c r="M123" s="122" t="s">
        <v>66</v>
      </c>
      <c r="N123" s="122" t="s">
        <v>53</v>
      </c>
      <c r="O123" s="122"/>
      <c r="P123" s="6">
        <v>5</v>
      </c>
      <c r="Q123" s="11" t="s">
        <v>2</v>
      </c>
      <c r="R123" s="311"/>
      <c r="S123" s="10"/>
      <c r="T123" s="6"/>
    </row>
    <row r="124" spans="1:20" x14ac:dyDescent="0.25">
      <c r="A124" s="6">
        <v>123</v>
      </c>
      <c r="B124" s="7" t="s">
        <v>94</v>
      </c>
      <c r="C124" s="2" t="s">
        <v>15</v>
      </c>
      <c r="D124" s="6" t="s">
        <v>22</v>
      </c>
      <c r="E124" s="6">
        <v>9</v>
      </c>
      <c r="F124" s="121" t="s">
        <v>16</v>
      </c>
      <c r="G124" s="121" t="s">
        <v>66</v>
      </c>
      <c r="H124" s="122" t="s">
        <v>7</v>
      </c>
      <c r="I124" s="122" t="s">
        <v>41</v>
      </c>
      <c r="J124" s="122" t="s">
        <v>71</v>
      </c>
      <c r="K124" s="122" t="s">
        <v>90</v>
      </c>
      <c r="L124" s="122" t="s">
        <v>79</v>
      </c>
      <c r="M124" s="122" t="s">
        <v>11</v>
      </c>
      <c r="N124" s="122" t="s">
        <v>53</v>
      </c>
      <c r="O124" s="122"/>
      <c r="P124" s="2">
        <v>9</v>
      </c>
      <c r="Q124" s="11" t="s">
        <v>2</v>
      </c>
      <c r="R124" s="311"/>
      <c r="S124" s="10"/>
      <c r="T124" s="6">
        <v>4</v>
      </c>
    </row>
    <row r="125" spans="1:20" x14ac:dyDescent="0.25">
      <c r="A125" s="6">
        <v>124</v>
      </c>
      <c r="B125" s="7" t="s">
        <v>94</v>
      </c>
      <c r="C125" s="2" t="s">
        <v>13</v>
      </c>
      <c r="D125" s="6" t="s">
        <v>22</v>
      </c>
      <c r="E125" s="6">
        <v>9</v>
      </c>
      <c r="F125" s="121" t="s">
        <v>7</v>
      </c>
      <c r="G125" s="121" t="s">
        <v>53</v>
      </c>
      <c r="H125" s="122" t="s">
        <v>41</v>
      </c>
      <c r="I125" s="122" t="s">
        <v>71</v>
      </c>
      <c r="J125" s="122" t="s">
        <v>90</v>
      </c>
      <c r="K125" s="122" t="s">
        <v>79</v>
      </c>
      <c r="L125" s="122" t="s">
        <v>16</v>
      </c>
      <c r="M125" s="122" t="s">
        <v>11</v>
      </c>
      <c r="N125" s="122" t="s">
        <v>66</v>
      </c>
      <c r="O125" s="122"/>
      <c r="P125" s="2">
        <v>4</v>
      </c>
      <c r="Q125" s="11" t="s">
        <v>2</v>
      </c>
      <c r="R125" s="311"/>
      <c r="S125" s="10"/>
      <c r="T125" s="6"/>
    </row>
    <row r="126" spans="1:20" x14ac:dyDescent="0.25">
      <c r="A126" s="6">
        <v>125</v>
      </c>
      <c r="B126" s="7" t="s">
        <v>94</v>
      </c>
      <c r="C126" s="2" t="s">
        <v>13</v>
      </c>
      <c r="D126" s="6" t="s">
        <v>22</v>
      </c>
      <c r="E126" s="6">
        <v>9</v>
      </c>
      <c r="F126" s="121" t="s">
        <v>79</v>
      </c>
      <c r="G126" s="121" t="s">
        <v>66</v>
      </c>
      <c r="H126" s="122" t="s">
        <v>7</v>
      </c>
      <c r="I126" s="122" t="s">
        <v>41</v>
      </c>
      <c r="J126" s="122" t="s">
        <v>71</v>
      </c>
      <c r="K126" s="122" t="s">
        <v>90</v>
      </c>
      <c r="L126" s="122" t="s">
        <v>16</v>
      </c>
      <c r="M126" s="122" t="s">
        <v>11</v>
      </c>
      <c r="N126" s="122" t="s">
        <v>53</v>
      </c>
      <c r="O126" s="122"/>
      <c r="P126" s="2">
        <v>6</v>
      </c>
      <c r="Q126" s="11"/>
      <c r="R126" s="311"/>
      <c r="S126" s="10" t="s">
        <v>2</v>
      </c>
      <c r="T126" s="6"/>
    </row>
    <row r="127" spans="1:20" x14ac:dyDescent="0.25">
      <c r="A127" s="6">
        <v>126</v>
      </c>
      <c r="B127" s="7" t="s">
        <v>94</v>
      </c>
      <c r="C127" s="2" t="s">
        <v>15</v>
      </c>
      <c r="D127" s="6" t="s">
        <v>22</v>
      </c>
      <c r="E127" s="6">
        <v>9</v>
      </c>
      <c r="F127" s="121" t="s">
        <v>71</v>
      </c>
      <c r="G127" s="121" t="s">
        <v>41</v>
      </c>
      <c r="H127" s="122" t="s">
        <v>7</v>
      </c>
      <c r="I127" s="122" t="s">
        <v>90</v>
      </c>
      <c r="J127" s="122" t="s">
        <v>79</v>
      </c>
      <c r="K127" s="122" t="s">
        <v>16</v>
      </c>
      <c r="L127" s="122" t="s">
        <v>11</v>
      </c>
      <c r="M127" s="122" t="s">
        <v>66</v>
      </c>
      <c r="N127" s="122" t="s">
        <v>53</v>
      </c>
      <c r="O127" s="122"/>
      <c r="P127" s="6">
        <v>2</v>
      </c>
      <c r="Q127" s="11" t="s">
        <v>2</v>
      </c>
      <c r="R127" s="311"/>
      <c r="S127" s="10"/>
      <c r="T127" s="6"/>
    </row>
    <row r="128" spans="1:20" x14ac:dyDescent="0.25">
      <c r="A128" s="6">
        <v>127</v>
      </c>
      <c r="B128" s="7" t="s">
        <v>94</v>
      </c>
      <c r="C128" s="2" t="s">
        <v>13</v>
      </c>
      <c r="D128" s="6" t="s">
        <v>22</v>
      </c>
      <c r="E128" s="6">
        <v>9</v>
      </c>
      <c r="F128" s="121" t="s">
        <v>71</v>
      </c>
      <c r="G128" s="121" t="s">
        <v>41</v>
      </c>
      <c r="H128" s="122" t="s">
        <v>7</v>
      </c>
      <c r="I128" s="122" t="s">
        <v>90</v>
      </c>
      <c r="J128" s="122" t="s">
        <v>79</v>
      </c>
      <c r="K128" s="122" t="s">
        <v>16</v>
      </c>
      <c r="L128" s="122" t="s">
        <v>11</v>
      </c>
      <c r="M128" s="122" t="s">
        <v>66</v>
      </c>
      <c r="N128" s="122" t="s">
        <v>53</v>
      </c>
      <c r="O128" s="122"/>
      <c r="P128" s="6">
        <v>9</v>
      </c>
      <c r="Q128" s="11"/>
      <c r="R128" s="311"/>
      <c r="S128" s="10" t="s">
        <v>2</v>
      </c>
      <c r="T128" s="6"/>
    </row>
    <row r="129" spans="1:20" x14ac:dyDescent="0.25">
      <c r="A129" s="6">
        <v>128</v>
      </c>
      <c r="B129" s="7" t="s">
        <v>95</v>
      </c>
      <c r="C129" s="2" t="s">
        <v>15</v>
      </c>
      <c r="D129" s="6" t="s">
        <v>22</v>
      </c>
      <c r="E129" s="6">
        <v>9</v>
      </c>
      <c r="F129" s="121" t="s">
        <v>16</v>
      </c>
      <c r="G129" s="121" t="s">
        <v>66</v>
      </c>
      <c r="H129" s="122" t="s">
        <v>7</v>
      </c>
      <c r="I129" s="122" t="s">
        <v>41</v>
      </c>
      <c r="J129" s="122" t="s">
        <v>90</v>
      </c>
      <c r="K129" s="122" t="s">
        <v>79</v>
      </c>
      <c r="L129" s="122" t="s">
        <v>55</v>
      </c>
      <c r="M129" s="122" t="s">
        <v>11</v>
      </c>
      <c r="N129" s="122" t="s">
        <v>53</v>
      </c>
      <c r="O129" s="122"/>
      <c r="P129" s="6">
        <v>2</v>
      </c>
      <c r="Q129" s="11" t="s">
        <v>2</v>
      </c>
      <c r="R129" s="311"/>
      <c r="S129" s="10"/>
      <c r="T129" s="6">
        <v>5</v>
      </c>
    </row>
    <row r="130" spans="1:20" x14ac:dyDescent="0.25">
      <c r="A130" s="6">
        <v>129</v>
      </c>
      <c r="B130" s="7" t="s">
        <v>95</v>
      </c>
      <c r="C130" s="2" t="s">
        <v>13</v>
      </c>
      <c r="D130" s="6" t="s">
        <v>22</v>
      </c>
      <c r="E130" s="6">
        <v>9</v>
      </c>
      <c r="F130" s="121" t="s">
        <v>16</v>
      </c>
      <c r="G130" s="121" t="s">
        <v>66</v>
      </c>
      <c r="H130" s="122" t="s">
        <v>7</v>
      </c>
      <c r="I130" s="122" t="s">
        <v>41</v>
      </c>
      <c r="J130" s="122" t="s">
        <v>90</v>
      </c>
      <c r="K130" s="122" t="s">
        <v>79</v>
      </c>
      <c r="L130" s="122" t="s">
        <v>55</v>
      </c>
      <c r="M130" s="122" t="s">
        <v>11</v>
      </c>
      <c r="N130" s="122" t="s">
        <v>53</v>
      </c>
      <c r="O130" s="122"/>
      <c r="P130" s="6">
        <v>6</v>
      </c>
      <c r="Q130" s="11"/>
      <c r="R130" s="311" t="s">
        <v>2</v>
      </c>
      <c r="S130" s="10"/>
      <c r="T130" s="6">
        <v>2</v>
      </c>
    </row>
    <row r="131" spans="1:20" x14ac:dyDescent="0.25">
      <c r="A131" s="6">
        <v>130</v>
      </c>
      <c r="B131" s="7" t="s">
        <v>95</v>
      </c>
      <c r="C131" s="2" t="s">
        <v>13</v>
      </c>
      <c r="D131" s="6" t="s">
        <v>22</v>
      </c>
      <c r="E131" s="6">
        <v>9</v>
      </c>
      <c r="F131" s="121" t="s">
        <v>7</v>
      </c>
      <c r="G131" s="121" t="s">
        <v>66</v>
      </c>
      <c r="H131" s="122" t="s">
        <v>41</v>
      </c>
      <c r="I131" s="122" t="s">
        <v>90</v>
      </c>
      <c r="J131" s="122" t="s">
        <v>79</v>
      </c>
      <c r="K131" s="122" t="s">
        <v>16</v>
      </c>
      <c r="L131" s="122" t="s">
        <v>55</v>
      </c>
      <c r="M131" s="122" t="s">
        <v>11</v>
      </c>
      <c r="N131" s="122" t="s">
        <v>53</v>
      </c>
      <c r="O131" s="122"/>
      <c r="P131" s="6">
        <v>7</v>
      </c>
      <c r="Q131" s="11"/>
      <c r="R131" s="311"/>
      <c r="S131" s="10" t="s">
        <v>2</v>
      </c>
      <c r="T131" s="6"/>
    </row>
    <row r="132" spans="1:20" x14ac:dyDescent="0.25">
      <c r="A132" s="6">
        <v>131</v>
      </c>
      <c r="B132" s="7" t="s">
        <v>95</v>
      </c>
      <c r="C132" s="2" t="s">
        <v>13</v>
      </c>
      <c r="D132" s="6" t="s">
        <v>22</v>
      </c>
      <c r="E132" s="6">
        <v>9</v>
      </c>
      <c r="F132" s="121" t="s">
        <v>55</v>
      </c>
      <c r="G132" s="121" t="s">
        <v>53</v>
      </c>
      <c r="H132" s="122" t="s">
        <v>7</v>
      </c>
      <c r="I132" s="122" t="s">
        <v>41</v>
      </c>
      <c r="J132" s="122" t="s">
        <v>90</v>
      </c>
      <c r="K132" s="122" t="s">
        <v>79</v>
      </c>
      <c r="L132" s="122" t="s">
        <v>16</v>
      </c>
      <c r="M132" s="122" t="s">
        <v>11</v>
      </c>
      <c r="N132" s="122" t="s">
        <v>66</v>
      </c>
      <c r="O132" s="122"/>
      <c r="P132" s="2">
        <v>2</v>
      </c>
      <c r="Q132" s="11" t="s">
        <v>2</v>
      </c>
      <c r="R132" s="311"/>
      <c r="S132" s="10"/>
      <c r="T132" s="6"/>
    </row>
    <row r="133" spans="1:20" x14ac:dyDescent="0.25">
      <c r="A133" s="6">
        <v>132</v>
      </c>
      <c r="B133" s="7" t="s">
        <v>95</v>
      </c>
      <c r="C133" s="2" t="s">
        <v>13</v>
      </c>
      <c r="D133" s="6" t="s">
        <v>22</v>
      </c>
      <c r="E133" s="6">
        <v>9</v>
      </c>
      <c r="F133" s="121" t="s">
        <v>41</v>
      </c>
      <c r="G133" s="121" t="s">
        <v>53</v>
      </c>
      <c r="H133" s="122" t="s">
        <v>7</v>
      </c>
      <c r="I133" s="122" t="s">
        <v>90</v>
      </c>
      <c r="J133" s="122" t="s">
        <v>79</v>
      </c>
      <c r="K133" s="122" t="s">
        <v>16</v>
      </c>
      <c r="L133" s="122" t="s">
        <v>55</v>
      </c>
      <c r="M133" s="122" t="s">
        <v>11</v>
      </c>
      <c r="N133" s="122" t="s">
        <v>66</v>
      </c>
      <c r="O133" s="122"/>
      <c r="P133" s="2">
        <v>6</v>
      </c>
      <c r="Q133" s="11"/>
      <c r="R133" s="311"/>
      <c r="S133" s="10" t="s">
        <v>2</v>
      </c>
      <c r="T133" s="6"/>
    </row>
    <row r="134" spans="1:20" x14ac:dyDescent="0.25">
      <c r="A134" s="6">
        <v>133</v>
      </c>
      <c r="B134" s="7" t="s">
        <v>95</v>
      </c>
      <c r="C134" s="2" t="s">
        <v>13</v>
      </c>
      <c r="D134" s="6" t="s">
        <v>22</v>
      </c>
      <c r="E134" s="6">
        <v>9</v>
      </c>
      <c r="F134" s="121" t="s">
        <v>55</v>
      </c>
      <c r="G134" s="121" t="s">
        <v>53</v>
      </c>
      <c r="H134" s="122" t="s">
        <v>7</v>
      </c>
      <c r="I134" s="122" t="s">
        <v>41</v>
      </c>
      <c r="J134" s="122" t="s">
        <v>90</v>
      </c>
      <c r="K134" s="122" t="s">
        <v>79</v>
      </c>
      <c r="L134" s="122" t="s">
        <v>16</v>
      </c>
      <c r="M134" s="122" t="s">
        <v>11</v>
      </c>
      <c r="N134" s="122" t="s">
        <v>66</v>
      </c>
      <c r="O134" s="122"/>
      <c r="P134" s="2">
        <v>4</v>
      </c>
      <c r="Q134" s="11" t="s">
        <v>2</v>
      </c>
      <c r="R134" s="311"/>
      <c r="S134" s="10"/>
      <c r="T134" s="6"/>
    </row>
    <row r="135" spans="1:20" x14ac:dyDescent="0.25">
      <c r="A135" s="6">
        <v>134</v>
      </c>
      <c r="B135" s="7" t="s">
        <v>95</v>
      </c>
      <c r="C135" s="2" t="s">
        <v>13</v>
      </c>
      <c r="D135" s="6" t="s">
        <v>22</v>
      </c>
      <c r="E135" s="6">
        <v>9</v>
      </c>
      <c r="F135" s="121" t="s">
        <v>66</v>
      </c>
      <c r="G135" s="121" t="s">
        <v>53</v>
      </c>
      <c r="H135" s="122" t="s">
        <v>7</v>
      </c>
      <c r="I135" s="122" t="s">
        <v>41</v>
      </c>
      <c r="J135" s="122" t="s">
        <v>90</v>
      </c>
      <c r="K135" s="122" t="s">
        <v>79</v>
      </c>
      <c r="L135" s="122" t="s">
        <v>16</v>
      </c>
      <c r="M135" s="122" t="s">
        <v>55</v>
      </c>
      <c r="N135" s="122" t="s">
        <v>11</v>
      </c>
      <c r="O135" s="122"/>
      <c r="P135" s="6">
        <v>7</v>
      </c>
      <c r="Q135" s="11" t="s">
        <v>2</v>
      </c>
      <c r="R135" s="311"/>
      <c r="S135" s="10"/>
      <c r="T135" s="6"/>
    </row>
    <row r="136" spans="1:20" x14ac:dyDescent="0.25">
      <c r="A136" s="6">
        <v>135</v>
      </c>
      <c r="B136" s="7" t="s">
        <v>95</v>
      </c>
      <c r="C136" s="2" t="s">
        <v>15</v>
      </c>
      <c r="D136" s="6" t="s">
        <v>22</v>
      </c>
      <c r="E136" s="6">
        <v>9</v>
      </c>
      <c r="F136" s="121" t="s">
        <v>41</v>
      </c>
      <c r="G136" s="121" t="s">
        <v>55</v>
      </c>
      <c r="H136" s="122" t="s">
        <v>7</v>
      </c>
      <c r="I136" s="122" t="s">
        <v>90</v>
      </c>
      <c r="J136" s="122" t="s">
        <v>79</v>
      </c>
      <c r="K136" s="122" t="s">
        <v>16</v>
      </c>
      <c r="L136" s="122" t="s">
        <v>11</v>
      </c>
      <c r="M136" s="122" t="s">
        <v>66</v>
      </c>
      <c r="N136" s="122" t="s">
        <v>53</v>
      </c>
      <c r="O136" s="122"/>
      <c r="P136" s="6">
        <v>5</v>
      </c>
      <c r="Q136" s="11"/>
      <c r="R136" s="311"/>
      <c r="S136" s="10" t="s">
        <v>2</v>
      </c>
      <c r="T136" s="6"/>
    </row>
    <row r="137" spans="1:20" x14ac:dyDescent="0.25">
      <c r="A137" s="6">
        <v>136</v>
      </c>
      <c r="B137" s="7" t="s">
        <v>95</v>
      </c>
      <c r="C137" s="2" t="s">
        <v>13</v>
      </c>
      <c r="D137" s="6" t="s">
        <v>22</v>
      </c>
      <c r="E137" s="6">
        <v>9</v>
      </c>
      <c r="F137" s="121" t="s">
        <v>90</v>
      </c>
      <c r="G137" s="121" t="s">
        <v>66</v>
      </c>
      <c r="H137" s="122" t="s">
        <v>7</v>
      </c>
      <c r="I137" s="122" t="s">
        <v>41</v>
      </c>
      <c r="J137" s="122" t="s">
        <v>79</v>
      </c>
      <c r="K137" s="122" t="s">
        <v>16</v>
      </c>
      <c r="L137" s="122" t="s">
        <v>55</v>
      </c>
      <c r="M137" s="122" t="s">
        <v>11</v>
      </c>
      <c r="N137" s="122" t="s">
        <v>53</v>
      </c>
      <c r="O137" s="122"/>
      <c r="P137" s="6">
        <v>4</v>
      </c>
      <c r="Q137" s="11" t="s">
        <v>2</v>
      </c>
      <c r="R137" s="311"/>
      <c r="S137" s="10"/>
      <c r="T137" s="6"/>
    </row>
    <row r="138" spans="1:20" x14ac:dyDescent="0.25">
      <c r="A138" s="6">
        <v>137</v>
      </c>
      <c r="B138" s="7" t="s">
        <v>95</v>
      </c>
      <c r="C138" s="2" t="s">
        <v>13</v>
      </c>
      <c r="D138" s="6" t="s">
        <v>22</v>
      </c>
      <c r="E138" s="6">
        <v>9</v>
      </c>
      <c r="F138" s="121" t="s">
        <v>7</v>
      </c>
      <c r="G138" s="121" t="s">
        <v>66</v>
      </c>
      <c r="H138" s="122" t="s">
        <v>41</v>
      </c>
      <c r="I138" s="122" t="s">
        <v>90</v>
      </c>
      <c r="J138" s="122" t="s">
        <v>79</v>
      </c>
      <c r="K138" s="122" t="s">
        <v>16</v>
      </c>
      <c r="L138" s="122" t="s">
        <v>55</v>
      </c>
      <c r="M138" s="122" t="s">
        <v>11</v>
      </c>
      <c r="N138" s="122" t="s">
        <v>53</v>
      </c>
      <c r="O138" s="122"/>
      <c r="P138" s="2">
        <v>4</v>
      </c>
      <c r="Q138" s="11" t="s">
        <v>2</v>
      </c>
      <c r="R138" s="311"/>
      <c r="S138" s="10"/>
      <c r="T138" s="6"/>
    </row>
    <row r="139" spans="1:20" x14ac:dyDescent="0.25">
      <c r="A139" s="6">
        <v>138</v>
      </c>
      <c r="B139" s="7" t="s">
        <v>95</v>
      </c>
      <c r="C139" s="2" t="s">
        <v>13</v>
      </c>
      <c r="D139" s="6" t="s">
        <v>22</v>
      </c>
      <c r="E139" s="6">
        <v>9</v>
      </c>
      <c r="F139" s="121" t="s">
        <v>55</v>
      </c>
      <c r="G139" s="121" t="s">
        <v>11</v>
      </c>
      <c r="H139" s="122" t="s">
        <v>7</v>
      </c>
      <c r="I139" s="122" t="s">
        <v>41</v>
      </c>
      <c r="J139" s="122" t="s">
        <v>90</v>
      </c>
      <c r="K139" s="122" t="s">
        <v>79</v>
      </c>
      <c r="L139" s="122" t="s">
        <v>16</v>
      </c>
      <c r="M139" s="122" t="s">
        <v>66</v>
      </c>
      <c r="N139" s="122" t="s">
        <v>53</v>
      </c>
      <c r="O139" s="122"/>
      <c r="P139" s="2">
        <v>3</v>
      </c>
      <c r="Q139" s="11" t="s">
        <v>2</v>
      </c>
      <c r="R139" s="311"/>
      <c r="S139" s="10"/>
      <c r="T139" s="6"/>
    </row>
    <row r="140" spans="1:20" x14ac:dyDescent="0.25">
      <c r="A140" s="6">
        <v>139</v>
      </c>
      <c r="B140" s="7" t="s">
        <v>95</v>
      </c>
      <c r="C140" s="2" t="s">
        <v>13</v>
      </c>
      <c r="D140" s="6" t="s">
        <v>22</v>
      </c>
      <c r="E140" s="6">
        <v>9</v>
      </c>
      <c r="F140" s="121" t="s">
        <v>55</v>
      </c>
      <c r="G140" s="121" t="s">
        <v>66</v>
      </c>
      <c r="H140" s="122" t="s">
        <v>7</v>
      </c>
      <c r="I140" s="122" t="s">
        <v>41</v>
      </c>
      <c r="J140" s="122" t="s">
        <v>90</v>
      </c>
      <c r="K140" s="122" t="s">
        <v>79</v>
      </c>
      <c r="L140" s="122" t="s">
        <v>16</v>
      </c>
      <c r="M140" s="122" t="s">
        <v>11</v>
      </c>
      <c r="N140" s="122" t="s">
        <v>53</v>
      </c>
      <c r="O140" s="122"/>
      <c r="P140" s="2">
        <v>4</v>
      </c>
      <c r="Q140" s="11" t="s">
        <v>2</v>
      </c>
      <c r="R140" s="311"/>
      <c r="S140" s="10"/>
      <c r="T140" s="6"/>
    </row>
    <row r="141" spans="1:20" x14ac:dyDescent="0.25">
      <c r="A141" s="6">
        <v>140</v>
      </c>
      <c r="B141" s="7" t="s">
        <v>96</v>
      </c>
      <c r="C141" s="2" t="s">
        <v>13</v>
      </c>
      <c r="D141" s="6" t="s">
        <v>22</v>
      </c>
      <c r="E141" s="6">
        <v>10</v>
      </c>
      <c r="F141" s="121" t="s">
        <v>11</v>
      </c>
      <c r="G141" s="121" t="s">
        <v>53</v>
      </c>
      <c r="H141" s="122" t="s">
        <v>54</v>
      </c>
      <c r="I141" s="122" t="s">
        <v>7</v>
      </c>
      <c r="J141" s="122" t="s">
        <v>41</v>
      </c>
      <c r="K141" s="122" t="s">
        <v>90</v>
      </c>
      <c r="L141" s="122" t="s">
        <v>40</v>
      </c>
      <c r="M141" s="122" t="s">
        <v>79</v>
      </c>
      <c r="N141" s="122" t="s">
        <v>16</v>
      </c>
      <c r="O141" s="122" t="s">
        <v>55</v>
      </c>
      <c r="P141" s="6">
        <v>10</v>
      </c>
      <c r="Q141" s="11"/>
      <c r="R141" s="311"/>
      <c r="S141" s="10" t="s">
        <v>2</v>
      </c>
      <c r="T141" s="6"/>
    </row>
    <row r="142" spans="1:20" x14ac:dyDescent="0.25">
      <c r="A142" s="6">
        <v>141</v>
      </c>
      <c r="B142" s="7" t="s">
        <v>96</v>
      </c>
      <c r="C142" s="2" t="s">
        <v>15</v>
      </c>
      <c r="D142" s="6" t="s">
        <v>22</v>
      </c>
      <c r="E142" s="6">
        <v>10</v>
      </c>
      <c r="F142" s="121" t="s">
        <v>7</v>
      </c>
      <c r="G142" s="121" t="s">
        <v>11</v>
      </c>
      <c r="H142" s="122" t="s">
        <v>54</v>
      </c>
      <c r="I142" s="122" t="s">
        <v>41</v>
      </c>
      <c r="J142" s="122" t="s">
        <v>90</v>
      </c>
      <c r="K142" s="122" t="s">
        <v>40</v>
      </c>
      <c r="L142" s="122" t="s">
        <v>79</v>
      </c>
      <c r="M142" s="122" t="s">
        <v>16</v>
      </c>
      <c r="N142" s="122" t="s">
        <v>55</v>
      </c>
      <c r="O142" s="122" t="s">
        <v>53</v>
      </c>
      <c r="P142" s="2">
        <v>2</v>
      </c>
      <c r="Q142" s="11" t="s">
        <v>2</v>
      </c>
      <c r="R142" s="311"/>
      <c r="S142" s="10"/>
      <c r="T142" s="6"/>
    </row>
    <row r="143" spans="1:20" x14ac:dyDescent="0.25">
      <c r="A143" s="6">
        <v>142</v>
      </c>
      <c r="B143" s="7" t="s">
        <v>96</v>
      </c>
      <c r="C143" s="2" t="s">
        <v>15</v>
      </c>
      <c r="D143" s="6" t="s">
        <v>22</v>
      </c>
      <c r="E143" s="6">
        <v>10</v>
      </c>
      <c r="F143" s="121" t="s">
        <v>7</v>
      </c>
      <c r="G143" s="121" t="s">
        <v>53</v>
      </c>
      <c r="H143" s="122" t="s">
        <v>54</v>
      </c>
      <c r="I143" s="122" t="s">
        <v>41</v>
      </c>
      <c r="J143" s="122" t="s">
        <v>90</v>
      </c>
      <c r="K143" s="122" t="s">
        <v>40</v>
      </c>
      <c r="L143" s="122" t="s">
        <v>79</v>
      </c>
      <c r="M143" s="122" t="s">
        <v>16</v>
      </c>
      <c r="N143" s="122" t="s">
        <v>55</v>
      </c>
      <c r="O143" s="122" t="s">
        <v>11</v>
      </c>
      <c r="P143" s="2">
        <v>9</v>
      </c>
      <c r="Q143" s="11"/>
      <c r="R143" s="311"/>
      <c r="S143" s="10" t="s">
        <v>2</v>
      </c>
      <c r="T143" s="6"/>
    </row>
    <row r="144" spans="1:20" x14ac:dyDescent="0.25">
      <c r="A144" s="6">
        <v>143</v>
      </c>
      <c r="B144" s="7" t="s">
        <v>96</v>
      </c>
      <c r="C144" s="2" t="s">
        <v>15</v>
      </c>
      <c r="D144" s="6" t="s">
        <v>22</v>
      </c>
      <c r="E144" s="6">
        <v>10</v>
      </c>
      <c r="F144" s="121" t="s">
        <v>55</v>
      </c>
      <c r="G144" s="121" t="s">
        <v>11</v>
      </c>
      <c r="H144" s="122" t="s">
        <v>54</v>
      </c>
      <c r="I144" s="122" t="s">
        <v>7</v>
      </c>
      <c r="J144" s="122" t="s">
        <v>41</v>
      </c>
      <c r="K144" s="122" t="s">
        <v>90</v>
      </c>
      <c r="L144" s="122" t="s">
        <v>40</v>
      </c>
      <c r="M144" s="122" t="s">
        <v>79</v>
      </c>
      <c r="N144" s="122" t="s">
        <v>16</v>
      </c>
      <c r="O144" s="122" t="s">
        <v>53</v>
      </c>
      <c r="P144" s="2">
        <v>4</v>
      </c>
      <c r="Q144" s="11" t="s">
        <v>2</v>
      </c>
      <c r="R144" s="311"/>
      <c r="S144" s="10"/>
      <c r="T144" s="6"/>
    </row>
    <row r="145" spans="1:20" x14ac:dyDescent="0.25">
      <c r="A145" s="6">
        <v>144</v>
      </c>
      <c r="B145" s="7" t="s">
        <v>96</v>
      </c>
      <c r="C145" s="2" t="s">
        <v>15</v>
      </c>
      <c r="D145" s="6" t="s">
        <v>22</v>
      </c>
      <c r="E145" s="6">
        <v>10</v>
      </c>
      <c r="F145" s="121" t="s">
        <v>41</v>
      </c>
      <c r="G145" s="121" t="s">
        <v>40</v>
      </c>
      <c r="H145" s="122" t="s">
        <v>54</v>
      </c>
      <c r="I145" s="122" t="s">
        <v>7</v>
      </c>
      <c r="J145" s="122" t="s">
        <v>90</v>
      </c>
      <c r="K145" s="122" t="s">
        <v>79</v>
      </c>
      <c r="L145" s="122" t="s">
        <v>16</v>
      </c>
      <c r="M145" s="122" t="s">
        <v>55</v>
      </c>
      <c r="N145" s="122" t="s">
        <v>11</v>
      </c>
      <c r="O145" s="122" t="s">
        <v>53</v>
      </c>
      <c r="P145" s="6">
        <v>4</v>
      </c>
      <c r="Q145" s="11"/>
      <c r="R145" s="311"/>
      <c r="S145" s="10"/>
      <c r="T145" s="6"/>
    </row>
    <row r="146" spans="1:20" x14ac:dyDescent="0.25">
      <c r="A146" s="6">
        <v>145</v>
      </c>
      <c r="B146" s="7" t="s">
        <v>96</v>
      </c>
      <c r="C146" s="2" t="s">
        <v>15</v>
      </c>
      <c r="D146" s="6" t="s">
        <v>22</v>
      </c>
      <c r="E146" s="6">
        <v>10</v>
      </c>
      <c r="F146" s="121" t="s">
        <v>90</v>
      </c>
      <c r="G146" s="121" t="s">
        <v>16</v>
      </c>
      <c r="H146" s="122" t="s">
        <v>54</v>
      </c>
      <c r="I146" s="122" t="s">
        <v>7</v>
      </c>
      <c r="J146" s="122" t="s">
        <v>41</v>
      </c>
      <c r="K146" s="122" t="s">
        <v>40</v>
      </c>
      <c r="L146" s="122" t="s">
        <v>79</v>
      </c>
      <c r="M146" s="122" t="s">
        <v>55</v>
      </c>
      <c r="N146" s="122" t="s">
        <v>11</v>
      </c>
      <c r="O146" s="122" t="s">
        <v>53</v>
      </c>
      <c r="P146" s="6">
        <v>4</v>
      </c>
      <c r="Q146" s="11"/>
      <c r="R146" s="311"/>
      <c r="S146" s="10"/>
      <c r="T146" s="6">
        <v>3</v>
      </c>
    </row>
    <row r="147" spans="1:20" x14ac:dyDescent="0.25">
      <c r="A147" s="247"/>
      <c r="B147" s="342"/>
    </row>
    <row r="148" spans="1:20" x14ac:dyDescent="0.25">
      <c r="A148" s="247"/>
      <c r="B148" s="342"/>
    </row>
    <row r="149" spans="1:20" x14ac:dyDescent="0.25">
      <c r="A149" s="247"/>
      <c r="B149" s="342"/>
    </row>
    <row r="178" spans="16:16" x14ac:dyDescent="0.25">
      <c r="P178" s="247"/>
    </row>
    <row r="179" spans="16:16" x14ac:dyDescent="0.25">
      <c r="P179" s="247"/>
    </row>
    <row r="180" spans="16:16" x14ac:dyDescent="0.25">
      <c r="P180" s="247"/>
    </row>
    <row r="181" spans="16:16" x14ac:dyDescent="0.25">
      <c r="P181" s="247"/>
    </row>
    <row r="182" spans="16:16" x14ac:dyDescent="0.25">
      <c r="P182" s="247"/>
    </row>
  </sheetData>
  <phoneticPr fontId="7" type="noConversion"/>
  <conditionalFormatting sqref="C41:C42 C61:C63 C65 C67 C69 C83:C87 C150:C1048576 C92:C96 C98:C110 C2:C38 C45:C48 C73:C81 C113:C117 C119:C121">
    <cfRule type="containsText" dxfId="570" priority="949" operator="containsText" text="L">
      <formula>NOT(ISERROR(SEARCH("L",C2)))</formula>
    </cfRule>
    <cfRule type="containsText" dxfId="569" priority="950" operator="containsText" text="W">
      <formula>NOT(ISERROR(SEARCH("W",C2)))</formula>
    </cfRule>
  </conditionalFormatting>
  <conditionalFormatting sqref="C39:C40">
    <cfRule type="containsText" dxfId="568" priority="899" operator="containsText" text="L">
      <formula>NOT(ISERROR(SEARCH("L",C39)))</formula>
    </cfRule>
    <cfRule type="containsText" dxfId="567" priority="900" operator="containsText" text="W">
      <formula>NOT(ISERROR(SEARCH("W",C39)))</formula>
    </cfRule>
  </conditionalFormatting>
  <conditionalFormatting sqref="C40">
    <cfRule type="containsText" dxfId="566" priority="895" operator="containsText" text="L">
      <formula>NOT(ISERROR(SEARCH("L",C40)))</formula>
    </cfRule>
    <cfRule type="containsText" dxfId="565" priority="896" operator="containsText" text="W">
      <formula>NOT(ISERROR(SEARCH("W",C40)))</formula>
    </cfRule>
  </conditionalFormatting>
  <conditionalFormatting sqref="C43:C44">
    <cfRule type="containsText" dxfId="564" priority="891" operator="containsText" text="L">
      <formula>NOT(ISERROR(SEARCH("L",C43)))</formula>
    </cfRule>
    <cfRule type="containsText" dxfId="563" priority="892" operator="containsText" text="W">
      <formula>NOT(ISERROR(SEARCH("W",C43)))</formula>
    </cfRule>
  </conditionalFormatting>
  <conditionalFormatting sqref="C49:C74">
    <cfRule type="containsText" dxfId="562" priority="883" operator="containsText" text="L">
      <formula>NOT(ISERROR(SEARCH("L",C49)))</formula>
    </cfRule>
    <cfRule type="containsText" dxfId="561" priority="884" operator="containsText" text="W">
      <formula>NOT(ISERROR(SEARCH("W",C49)))</formula>
    </cfRule>
  </conditionalFormatting>
  <conditionalFormatting sqref="P49:P53 P145:P146 P150:P1048576 P129:P134">
    <cfRule type="expression" dxfId="560" priority="864">
      <formula>AND(E49=9,P49=8)</formula>
    </cfRule>
    <cfRule type="expression" dxfId="559" priority="865">
      <formula>AND(E49=9,P49=7)</formula>
    </cfRule>
    <cfRule type="expression" dxfId="558" priority="866">
      <formula>AND(E49=9,P49=6)</formula>
    </cfRule>
    <cfRule type="expression" dxfId="557" priority="867">
      <formula>AND(E49=9,P49=5)</formula>
    </cfRule>
    <cfRule type="expression" dxfId="556" priority="868">
      <formula>AND(E49=9,P49=4)</formula>
    </cfRule>
    <cfRule type="expression" dxfId="555" priority="869">
      <formula>AND(E49=9,P49=3)</formula>
    </cfRule>
    <cfRule type="expression" dxfId="554" priority="870">
      <formula>AND(E49=10,P49=9)</formula>
    </cfRule>
    <cfRule type="expression" dxfId="553" priority="871">
      <formula>AND(P49=8,E49=10)</formula>
    </cfRule>
    <cfRule type="expression" dxfId="552" priority="872">
      <formula>AND(P49=7,E49=10)</formula>
    </cfRule>
    <cfRule type="expression" dxfId="551" priority="873">
      <formula>AND(P49=6,E49=10)</formula>
    </cfRule>
    <cfRule type="expression" dxfId="550" priority="874">
      <formula>AND(P49=5,E49=10)</formula>
    </cfRule>
    <cfRule type="expression" dxfId="549" priority="875">
      <formula>AND(P49=3,E49=10)</formula>
    </cfRule>
    <cfRule type="expression" dxfId="548" priority="876">
      <formula>AND(P49=4,E49=10)</formula>
    </cfRule>
    <cfRule type="expression" dxfId="547" priority="877">
      <formula>AND(P49=2,E49=10)</formula>
    </cfRule>
    <cfRule type="expression" dxfId="546" priority="878">
      <formula>AND(P49=2,E49=9)</formula>
    </cfRule>
    <cfRule type="expression" dxfId="545" priority="879">
      <formula>AND(P49=10,E49=10)</formula>
    </cfRule>
    <cfRule type="expression" dxfId="544" priority="880">
      <formula>AND(P49=9, E49=9)</formula>
    </cfRule>
  </conditionalFormatting>
  <conditionalFormatting sqref="C64 C66 C68 C70:C72">
    <cfRule type="containsText" dxfId="543" priority="856" operator="containsText" text="L">
      <formula>NOT(ISERROR(SEARCH("L",C64)))</formula>
    </cfRule>
    <cfRule type="containsText" dxfId="542" priority="857" operator="containsText" text="W">
      <formula>NOT(ISERROR(SEARCH("W",C64)))</formula>
    </cfRule>
  </conditionalFormatting>
  <conditionalFormatting sqref="C82:C84">
    <cfRule type="containsText" dxfId="541" priority="852" operator="containsText" text="L">
      <formula>NOT(ISERROR(SEARCH("L",C82)))</formula>
    </cfRule>
    <cfRule type="containsText" dxfId="540" priority="853" operator="containsText" text="W">
      <formula>NOT(ISERROR(SEARCH("W",C82)))</formula>
    </cfRule>
  </conditionalFormatting>
  <conditionalFormatting sqref="D1:D81 D99 D150:D1048576">
    <cfRule type="containsText" dxfId="539" priority="847" operator="containsText" text="Polus">
      <formula>NOT(ISERROR(SEARCH("Polus",D1)))</formula>
    </cfRule>
    <cfRule type="containsText" dxfId="538" priority="848" operator="containsText" text="Mira">
      <formula>NOT(ISERROR(SEARCH("Mira",D1)))</formula>
    </cfRule>
    <cfRule type="containsText" dxfId="537" priority="849" operator="containsText" text="skeld">
      <formula>NOT(ISERROR(SEARCH("skeld",D1)))</formula>
    </cfRule>
  </conditionalFormatting>
  <conditionalFormatting sqref="D82">
    <cfRule type="containsText" dxfId="536" priority="841" operator="containsText" text="Polus">
      <formula>NOT(ISERROR(SEARCH("Polus",D82)))</formula>
    </cfRule>
    <cfRule type="containsText" dxfId="535" priority="842" operator="containsText" text="Mira">
      <formula>NOT(ISERROR(SEARCH("Mira",D82)))</formula>
    </cfRule>
    <cfRule type="containsText" dxfId="534" priority="843" operator="containsText" text="skeld">
      <formula>NOT(ISERROR(SEARCH("skeld",D82)))</formula>
    </cfRule>
  </conditionalFormatting>
  <conditionalFormatting sqref="D83:D87">
    <cfRule type="containsText" dxfId="533" priority="837" operator="containsText" text="Polus">
      <formula>NOT(ISERROR(SEARCH("Polus",D83)))</formula>
    </cfRule>
    <cfRule type="containsText" dxfId="532" priority="838" operator="containsText" text="Mira">
      <formula>NOT(ISERROR(SEARCH("Mira",D83)))</formula>
    </cfRule>
    <cfRule type="containsText" dxfId="531" priority="839" operator="containsText" text="skeld">
      <formula>NOT(ISERROR(SEARCH("skeld",D83)))</formula>
    </cfRule>
  </conditionalFormatting>
  <conditionalFormatting sqref="C88">
    <cfRule type="containsText" dxfId="530" priority="835" operator="containsText" text="L">
      <formula>NOT(ISERROR(SEARCH("L",C88)))</formula>
    </cfRule>
    <cfRule type="containsText" dxfId="529" priority="836" operator="containsText" text="W">
      <formula>NOT(ISERROR(SEARCH("W",C88)))</formula>
    </cfRule>
  </conditionalFormatting>
  <conditionalFormatting sqref="D88">
    <cfRule type="containsText" dxfId="528" priority="832" operator="containsText" text="Polus">
      <formula>NOT(ISERROR(SEARCH("Polus",D88)))</formula>
    </cfRule>
    <cfRule type="containsText" dxfId="527" priority="833" operator="containsText" text="Mira">
      <formula>NOT(ISERROR(SEARCH("Mira",D88)))</formula>
    </cfRule>
    <cfRule type="containsText" dxfId="526" priority="834" operator="containsText" text="skeld">
      <formula>NOT(ISERROR(SEARCH("skeld",D88)))</formula>
    </cfRule>
  </conditionalFormatting>
  <conditionalFormatting sqref="C89:C90">
    <cfRule type="containsText" dxfId="525" priority="828" operator="containsText" text="L">
      <formula>NOT(ISERROR(SEARCH("L",C89)))</formula>
    </cfRule>
    <cfRule type="containsText" dxfId="524" priority="829" operator="containsText" text="W">
      <formula>NOT(ISERROR(SEARCH("W",C89)))</formula>
    </cfRule>
  </conditionalFormatting>
  <conditionalFormatting sqref="D89">
    <cfRule type="containsText" dxfId="523" priority="825" operator="containsText" text="Polus">
      <formula>NOT(ISERROR(SEARCH("Polus",D89)))</formula>
    </cfRule>
    <cfRule type="containsText" dxfId="522" priority="826" operator="containsText" text="Mira">
      <formula>NOT(ISERROR(SEARCH("Mira",D89)))</formula>
    </cfRule>
    <cfRule type="containsText" dxfId="521" priority="827" operator="containsText" text="skeld">
      <formula>NOT(ISERROR(SEARCH("skeld",D89)))</formula>
    </cfRule>
  </conditionalFormatting>
  <conditionalFormatting sqref="C90">
    <cfRule type="containsText" dxfId="520" priority="821" operator="containsText" text="L">
      <formula>NOT(ISERROR(SEARCH("L",C90)))</formula>
    </cfRule>
    <cfRule type="containsText" dxfId="519" priority="822" operator="containsText" text="W">
      <formula>NOT(ISERROR(SEARCH("W",C90)))</formula>
    </cfRule>
  </conditionalFormatting>
  <conditionalFormatting sqref="D90">
    <cfRule type="containsText" dxfId="518" priority="818" operator="containsText" text="Polus">
      <formula>NOT(ISERROR(SEARCH("Polus",D90)))</formula>
    </cfRule>
    <cfRule type="containsText" dxfId="517" priority="819" operator="containsText" text="Mira">
      <formula>NOT(ISERROR(SEARCH("Mira",D90)))</formula>
    </cfRule>
    <cfRule type="containsText" dxfId="516" priority="820" operator="containsText" text="skeld">
      <formula>NOT(ISERROR(SEARCH("skeld",D90)))</formula>
    </cfRule>
  </conditionalFormatting>
  <conditionalFormatting sqref="C91">
    <cfRule type="containsText" dxfId="515" priority="814" operator="containsText" text="L">
      <formula>NOT(ISERROR(SEARCH("L",C91)))</formula>
    </cfRule>
    <cfRule type="containsText" dxfId="514" priority="815" operator="containsText" text="W">
      <formula>NOT(ISERROR(SEARCH("W",C91)))</formula>
    </cfRule>
  </conditionalFormatting>
  <conditionalFormatting sqref="D91:D94">
    <cfRule type="containsText" dxfId="513" priority="811" operator="containsText" text="Polus">
      <formula>NOT(ISERROR(SEARCH("Polus",D91)))</formula>
    </cfRule>
    <cfRule type="containsText" dxfId="512" priority="812" operator="containsText" text="Mira">
      <formula>NOT(ISERROR(SEARCH("Mira",D91)))</formula>
    </cfRule>
    <cfRule type="containsText" dxfId="511" priority="813" operator="containsText" text="skeld">
      <formula>NOT(ISERROR(SEARCH("skeld",D91)))</formula>
    </cfRule>
  </conditionalFormatting>
  <conditionalFormatting sqref="T2:T102 T113:T127 T129:T134 T145:T1048576">
    <cfRule type="cellIs" dxfId="510" priority="808" operator="between">
      <formula>2</formula>
      <formula>3</formula>
    </cfRule>
    <cfRule type="cellIs" dxfId="509" priority="809" operator="greaterThan">
      <formula>3</formula>
    </cfRule>
    <cfRule type="cellIs" dxfId="508" priority="810" operator="lessThan">
      <formula>2</formula>
    </cfRule>
  </conditionalFormatting>
  <conditionalFormatting sqref="D95">
    <cfRule type="containsText" dxfId="507" priority="801" operator="containsText" text="Polus">
      <formula>NOT(ISERROR(SEARCH("Polus",D95)))</formula>
    </cfRule>
    <cfRule type="containsText" dxfId="506" priority="802" operator="containsText" text="Mira">
      <formula>NOT(ISERROR(SEARCH("Mira",D95)))</formula>
    </cfRule>
    <cfRule type="containsText" dxfId="505" priority="803" operator="containsText" text="skeld">
      <formula>NOT(ISERROR(SEARCH("skeld",D95)))</formula>
    </cfRule>
  </conditionalFormatting>
  <conditionalFormatting sqref="D96">
    <cfRule type="containsText" dxfId="504" priority="798" operator="containsText" text="Polus">
      <formula>NOT(ISERROR(SEARCH("Polus",D96)))</formula>
    </cfRule>
    <cfRule type="containsText" dxfId="503" priority="799" operator="containsText" text="Mira">
      <formula>NOT(ISERROR(SEARCH("Mira",D96)))</formula>
    </cfRule>
    <cfRule type="containsText" dxfId="502" priority="800" operator="containsText" text="skeld">
      <formula>NOT(ISERROR(SEARCH("skeld",D96)))</formula>
    </cfRule>
  </conditionalFormatting>
  <conditionalFormatting sqref="C97">
    <cfRule type="containsText" dxfId="501" priority="796" operator="containsText" text="L">
      <formula>NOT(ISERROR(SEARCH("L",C97)))</formula>
    </cfRule>
    <cfRule type="containsText" dxfId="500" priority="797" operator="containsText" text="W">
      <formula>NOT(ISERROR(SEARCH("W",C97)))</formula>
    </cfRule>
  </conditionalFormatting>
  <conditionalFormatting sqref="D97">
    <cfRule type="containsText" dxfId="499" priority="793" operator="containsText" text="Polus">
      <formula>NOT(ISERROR(SEARCH("Polus",D97)))</formula>
    </cfRule>
    <cfRule type="containsText" dxfId="498" priority="794" operator="containsText" text="Mira">
      <formula>NOT(ISERROR(SEARCH("Mira",D97)))</formula>
    </cfRule>
    <cfRule type="containsText" dxfId="497" priority="795" operator="containsText" text="skeld">
      <formula>NOT(ISERROR(SEARCH("skeld",D97)))</formula>
    </cfRule>
  </conditionalFormatting>
  <conditionalFormatting sqref="D98">
    <cfRule type="containsText" dxfId="496" priority="788" operator="containsText" text="Polus">
      <formula>NOT(ISERROR(SEARCH("Polus",D98)))</formula>
    </cfRule>
    <cfRule type="containsText" dxfId="495" priority="789" operator="containsText" text="Mira">
      <formula>NOT(ISERROR(SEARCH("Mira",D98)))</formula>
    </cfRule>
    <cfRule type="containsText" dxfId="494" priority="790" operator="containsText" text="skeld">
      <formula>NOT(ISERROR(SEARCH("skeld",D98)))</formula>
    </cfRule>
  </conditionalFormatting>
  <conditionalFormatting sqref="C100">
    <cfRule type="containsText" dxfId="493" priority="782" operator="containsText" text="L">
      <formula>NOT(ISERROR(SEARCH("L",C100)))</formula>
    </cfRule>
    <cfRule type="containsText" dxfId="492" priority="783" operator="containsText" text="W">
      <formula>NOT(ISERROR(SEARCH("W",C100)))</formula>
    </cfRule>
  </conditionalFormatting>
  <conditionalFormatting sqref="D100">
    <cfRule type="containsText" dxfId="491" priority="779" operator="containsText" text="Polus">
      <formula>NOT(ISERROR(SEARCH("Polus",D100)))</formula>
    </cfRule>
    <cfRule type="containsText" dxfId="490" priority="780" operator="containsText" text="Mira">
      <formula>NOT(ISERROR(SEARCH("Mira",D100)))</formula>
    </cfRule>
    <cfRule type="containsText" dxfId="489" priority="781" operator="containsText" text="skeld">
      <formula>NOT(ISERROR(SEARCH("skeld",D100)))</formula>
    </cfRule>
  </conditionalFormatting>
  <conditionalFormatting sqref="C101">
    <cfRule type="containsText" dxfId="488" priority="775" operator="containsText" text="L">
      <formula>NOT(ISERROR(SEARCH("L",C101)))</formula>
    </cfRule>
    <cfRule type="containsText" dxfId="487" priority="776" operator="containsText" text="W">
      <formula>NOT(ISERROR(SEARCH("W",C101)))</formula>
    </cfRule>
  </conditionalFormatting>
  <conditionalFormatting sqref="D101">
    <cfRule type="containsText" dxfId="486" priority="772" operator="containsText" text="Polus">
      <formula>NOT(ISERROR(SEARCH("Polus",D101)))</formula>
    </cfRule>
    <cfRule type="containsText" dxfId="485" priority="773" operator="containsText" text="Mira">
      <formula>NOT(ISERROR(SEARCH("Mira",D101)))</formula>
    </cfRule>
    <cfRule type="containsText" dxfId="484" priority="774" operator="containsText" text="skeld">
      <formula>NOT(ISERROR(SEARCH("skeld",D101)))</formula>
    </cfRule>
  </conditionalFormatting>
  <conditionalFormatting sqref="C102">
    <cfRule type="containsText" dxfId="483" priority="768" operator="containsText" text="L">
      <formula>NOT(ISERROR(SEARCH("L",C102)))</formula>
    </cfRule>
    <cfRule type="containsText" dxfId="482" priority="769" operator="containsText" text="W">
      <formula>NOT(ISERROR(SEARCH("W",C102)))</formula>
    </cfRule>
  </conditionalFormatting>
  <conditionalFormatting sqref="D102">
    <cfRule type="containsText" dxfId="481" priority="765" operator="containsText" text="Polus">
      <formula>NOT(ISERROR(SEARCH("Polus",D102)))</formula>
    </cfRule>
    <cfRule type="containsText" dxfId="480" priority="766" operator="containsText" text="Mira">
      <formula>NOT(ISERROR(SEARCH("Mira",D102)))</formula>
    </cfRule>
    <cfRule type="containsText" dxfId="479" priority="767" operator="containsText" text="skeld">
      <formula>NOT(ISERROR(SEARCH("skeld",D102)))</formula>
    </cfRule>
  </conditionalFormatting>
  <conditionalFormatting sqref="C109:C114">
    <cfRule type="containsText" dxfId="478" priority="754" operator="containsText" text="L">
      <formula>NOT(ISERROR(SEARCH("L",C109)))</formula>
    </cfRule>
    <cfRule type="containsText" dxfId="477" priority="755" operator="containsText" text="W">
      <formula>NOT(ISERROR(SEARCH("W",C109)))</formula>
    </cfRule>
  </conditionalFormatting>
  <conditionalFormatting sqref="P103:P112">
    <cfRule type="expression" dxfId="476" priority="735">
      <formula>AND(E103=9,P103=8)</formula>
    </cfRule>
    <cfRule type="expression" dxfId="475" priority="736">
      <formula>AND(E103=9,P103=7)</formula>
    </cfRule>
    <cfRule type="expression" dxfId="474" priority="737">
      <formula>AND(E103=9,P103=6)</formula>
    </cfRule>
    <cfRule type="expression" dxfId="473" priority="738">
      <formula>AND(E103=9,P103=5)</formula>
    </cfRule>
    <cfRule type="expression" dxfId="472" priority="739">
      <formula>AND(E103=9,P103=4)</formula>
    </cfRule>
    <cfRule type="expression" dxfId="471" priority="740">
      <formula>AND(E103=9,P103=3)</formula>
    </cfRule>
    <cfRule type="expression" dxfId="470" priority="741">
      <formula>AND(E103=10,P103=9)</formula>
    </cfRule>
    <cfRule type="expression" dxfId="469" priority="742">
      <formula>AND(P103=8,E103=10)</formula>
    </cfRule>
    <cfRule type="expression" dxfId="468" priority="743">
      <formula>AND(P103=7,E103=10)</formula>
    </cfRule>
    <cfRule type="expression" dxfId="467" priority="744">
      <formula>AND(P103=6,E103=10)</formula>
    </cfRule>
    <cfRule type="expression" dxfId="466" priority="745">
      <formula>AND(P103=5,E103=10)</formula>
    </cfRule>
    <cfRule type="expression" dxfId="465" priority="746">
      <formula>AND(P103=3,E103=10)</formula>
    </cfRule>
    <cfRule type="expression" dxfId="464" priority="747">
      <formula>AND(P103=4,E103=10)</formula>
    </cfRule>
    <cfRule type="expression" dxfId="463" priority="748">
      <formula>AND(P103=2,E103=10)</formula>
    </cfRule>
    <cfRule type="expression" dxfId="462" priority="749">
      <formula>AND(P103=2,E103=9)</formula>
    </cfRule>
    <cfRule type="expression" dxfId="461" priority="750">
      <formula>AND(P103=10,E103=10)</formula>
    </cfRule>
    <cfRule type="expression" dxfId="460" priority="751">
      <formula>AND(P103=9, E103=9)</formula>
    </cfRule>
  </conditionalFormatting>
  <conditionalFormatting sqref="T103:T112">
    <cfRule type="cellIs" dxfId="459" priority="732" operator="between">
      <formula>2</formula>
      <formula>3</formula>
    </cfRule>
    <cfRule type="cellIs" dxfId="458" priority="733" operator="greaterThan">
      <formula>3</formula>
    </cfRule>
    <cfRule type="cellIs" dxfId="457" priority="734" operator="lessThan">
      <formula>2</formula>
    </cfRule>
  </conditionalFormatting>
  <conditionalFormatting sqref="C103:C104">
    <cfRule type="containsText" dxfId="456" priority="730" operator="containsText" text="L">
      <formula>NOT(ISERROR(SEARCH("L",C103)))</formula>
    </cfRule>
    <cfRule type="containsText" dxfId="455" priority="731" operator="containsText" text="W">
      <formula>NOT(ISERROR(SEARCH("W",C103)))</formula>
    </cfRule>
  </conditionalFormatting>
  <conditionalFormatting sqref="D103:D104">
    <cfRule type="containsText" dxfId="454" priority="727" operator="containsText" text="Polus">
      <formula>NOT(ISERROR(SEARCH("Polus",D103)))</formula>
    </cfRule>
    <cfRule type="containsText" dxfId="453" priority="728" operator="containsText" text="Mira">
      <formula>NOT(ISERROR(SEARCH("Mira",D103)))</formula>
    </cfRule>
    <cfRule type="containsText" dxfId="452" priority="729" operator="containsText" text="skeld">
      <formula>NOT(ISERROR(SEARCH("skeld",D103)))</formula>
    </cfRule>
  </conditionalFormatting>
  <conditionalFormatting sqref="C105">
    <cfRule type="containsText" dxfId="451" priority="723" operator="containsText" text="L">
      <formula>NOT(ISERROR(SEARCH("L",C105)))</formula>
    </cfRule>
    <cfRule type="containsText" dxfId="450" priority="724" operator="containsText" text="W">
      <formula>NOT(ISERROR(SEARCH("W",C105)))</formula>
    </cfRule>
  </conditionalFormatting>
  <conditionalFormatting sqref="D105">
    <cfRule type="containsText" dxfId="449" priority="720" operator="containsText" text="Polus">
      <formula>NOT(ISERROR(SEARCH("Polus",D105)))</formula>
    </cfRule>
    <cfRule type="containsText" dxfId="448" priority="721" operator="containsText" text="Mira">
      <formula>NOT(ISERROR(SEARCH("Mira",D105)))</formula>
    </cfRule>
    <cfRule type="containsText" dxfId="447" priority="722" operator="containsText" text="skeld">
      <formula>NOT(ISERROR(SEARCH("skeld",D105)))</formula>
    </cfRule>
  </conditionalFormatting>
  <conditionalFormatting sqref="C106">
    <cfRule type="containsText" dxfId="446" priority="716" operator="containsText" text="L">
      <formula>NOT(ISERROR(SEARCH("L",C106)))</formula>
    </cfRule>
    <cfRule type="containsText" dxfId="445" priority="717" operator="containsText" text="W">
      <formula>NOT(ISERROR(SEARCH("W",C106)))</formula>
    </cfRule>
  </conditionalFormatting>
  <conditionalFormatting sqref="D106">
    <cfRule type="containsText" dxfId="444" priority="713" operator="containsText" text="Polus">
      <formula>NOT(ISERROR(SEARCH("Polus",D106)))</formula>
    </cfRule>
    <cfRule type="containsText" dxfId="443" priority="714" operator="containsText" text="Mira">
      <formula>NOT(ISERROR(SEARCH("Mira",D106)))</formula>
    </cfRule>
    <cfRule type="containsText" dxfId="442" priority="715" operator="containsText" text="skeld">
      <formula>NOT(ISERROR(SEARCH("skeld",D106)))</formula>
    </cfRule>
  </conditionalFormatting>
  <conditionalFormatting sqref="C107">
    <cfRule type="containsText" dxfId="441" priority="711" operator="containsText" text="L">
      <formula>NOT(ISERROR(SEARCH("L",C107)))</formula>
    </cfRule>
    <cfRule type="containsText" dxfId="440" priority="712" operator="containsText" text="W">
      <formula>NOT(ISERROR(SEARCH("W",C107)))</formula>
    </cfRule>
  </conditionalFormatting>
  <conditionalFormatting sqref="D107">
    <cfRule type="containsText" dxfId="439" priority="708" operator="containsText" text="Polus">
      <formula>NOT(ISERROR(SEARCH("Polus",D107)))</formula>
    </cfRule>
    <cfRule type="containsText" dxfId="438" priority="709" operator="containsText" text="Mira">
      <formula>NOT(ISERROR(SEARCH("Mira",D107)))</formula>
    </cfRule>
    <cfRule type="containsText" dxfId="437" priority="710" operator="containsText" text="skeld">
      <formula>NOT(ISERROR(SEARCH("skeld",D107)))</formula>
    </cfRule>
  </conditionalFormatting>
  <conditionalFormatting sqref="C108">
    <cfRule type="containsText" dxfId="436" priority="704" operator="containsText" text="L">
      <formula>NOT(ISERROR(SEARCH("L",C108)))</formula>
    </cfRule>
    <cfRule type="containsText" dxfId="435" priority="705" operator="containsText" text="W">
      <formula>NOT(ISERROR(SEARCH("W",C108)))</formula>
    </cfRule>
  </conditionalFormatting>
  <conditionalFormatting sqref="D108">
    <cfRule type="containsText" dxfId="434" priority="701" operator="containsText" text="Polus">
      <formula>NOT(ISERROR(SEARCH("Polus",D108)))</formula>
    </cfRule>
    <cfRule type="containsText" dxfId="433" priority="702" operator="containsText" text="Mira">
      <formula>NOT(ISERROR(SEARCH("Mira",D108)))</formula>
    </cfRule>
    <cfRule type="containsText" dxfId="432" priority="703" operator="containsText" text="skeld">
      <formula>NOT(ISERROR(SEARCH("skeld",D108)))</formula>
    </cfRule>
  </conditionalFormatting>
  <conditionalFormatting sqref="D109">
    <cfRule type="containsText" dxfId="431" priority="696" operator="containsText" text="Polus">
      <formula>NOT(ISERROR(SEARCH("Polus",D109)))</formula>
    </cfRule>
    <cfRule type="containsText" dxfId="430" priority="697" operator="containsText" text="Mira">
      <formula>NOT(ISERROR(SEARCH("Mira",D109)))</formula>
    </cfRule>
    <cfRule type="containsText" dxfId="429" priority="698" operator="containsText" text="skeld">
      <formula>NOT(ISERROR(SEARCH("skeld",D109)))</formula>
    </cfRule>
  </conditionalFormatting>
  <conditionalFormatting sqref="D110">
    <cfRule type="containsText" dxfId="428" priority="691" operator="containsText" text="Polus">
      <formula>NOT(ISERROR(SEARCH("Polus",D110)))</formula>
    </cfRule>
    <cfRule type="containsText" dxfId="427" priority="692" operator="containsText" text="Mira">
      <formula>NOT(ISERROR(SEARCH("Mira",D110)))</formula>
    </cfRule>
    <cfRule type="containsText" dxfId="426" priority="693" operator="containsText" text="skeld">
      <formula>NOT(ISERROR(SEARCH("skeld",D110)))</formula>
    </cfRule>
  </conditionalFormatting>
  <conditionalFormatting sqref="D111">
    <cfRule type="containsText" dxfId="425" priority="686" operator="containsText" text="Polus">
      <formula>NOT(ISERROR(SEARCH("Polus",D111)))</formula>
    </cfRule>
    <cfRule type="containsText" dxfId="424" priority="687" operator="containsText" text="Mira">
      <formula>NOT(ISERROR(SEARCH("Mira",D111)))</formula>
    </cfRule>
    <cfRule type="containsText" dxfId="423" priority="688" operator="containsText" text="skeld">
      <formula>NOT(ISERROR(SEARCH("skeld",D111)))</formula>
    </cfRule>
  </conditionalFormatting>
  <conditionalFormatting sqref="D112">
    <cfRule type="containsText" dxfId="422" priority="681" operator="containsText" text="Polus">
      <formula>NOT(ISERROR(SEARCH("Polus",D112)))</formula>
    </cfRule>
    <cfRule type="containsText" dxfId="421" priority="682" operator="containsText" text="Mira">
      <formula>NOT(ISERROR(SEARCH("Mira",D112)))</formula>
    </cfRule>
    <cfRule type="containsText" dxfId="420" priority="683" operator="containsText" text="skeld">
      <formula>NOT(ISERROR(SEARCH("skeld",D112)))</formula>
    </cfRule>
  </conditionalFormatting>
  <conditionalFormatting sqref="D113:D114">
    <cfRule type="containsText" dxfId="419" priority="678" operator="containsText" text="Polus">
      <formula>NOT(ISERROR(SEARCH("Polus",D113)))</formula>
    </cfRule>
    <cfRule type="containsText" dxfId="418" priority="679" operator="containsText" text="Mira">
      <formula>NOT(ISERROR(SEARCH("Mira",D113)))</formula>
    </cfRule>
    <cfRule type="containsText" dxfId="417" priority="680" operator="containsText" text="skeld">
      <formula>NOT(ISERROR(SEARCH("skeld",D113)))</formula>
    </cfRule>
  </conditionalFormatting>
  <conditionalFormatting sqref="D115">
    <cfRule type="containsText" dxfId="416" priority="675" operator="containsText" text="Polus">
      <formula>NOT(ISERROR(SEARCH("Polus",D115)))</formula>
    </cfRule>
    <cfRule type="containsText" dxfId="415" priority="676" operator="containsText" text="Mira">
      <formula>NOT(ISERROR(SEARCH("Mira",D115)))</formula>
    </cfRule>
    <cfRule type="containsText" dxfId="414" priority="677" operator="containsText" text="skeld">
      <formula>NOT(ISERROR(SEARCH("skeld",D115)))</formula>
    </cfRule>
  </conditionalFormatting>
  <conditionalFormatting sqref="D116">
    <cfRule type="containsText" dxfId="413" priority="672" operator="containsText" text="Polus">
      <formula>NOT(ISERROR(SEARCH("Polus",D116)))</formula>
    </cfRule>
    <cfRule type="containsText" dxfId="412" priority="673" operator="containsText" text="Mira">
      <formula>NOT(ISERROR(SEARCH("Mira",D116)))</formula>
    </cfRule>
    <cfRule type="containsText" dxfId="411" priority="674" operator="containsText" text="skeld">
      <formula>NOT(ISERROR(SEARCH("skeld",D116)))</formula>
    </cfRule>
  </conditionalFormatting>
  <conditionalFormatting sqref="D117">
    <cfRule type="containsText" dxfId="410" priority="669" operator="containsText" text="Polus">
      <formula>NOT(ISERROR(SEARCH("Polus",D117)))</formula>
    </cfRule>
    <cfRule type="containsText" dxfId="409" priority="670" operator="containsText" text="Mira">
      <formula>NOT(ISERROR(SEARCH("Mira",D117)))</formula>
    </cfRule>
    <cfRule type="containsText" dxfId="408" priority="671" operator="containsText" text="skeld">
      <formula>NOT(ISERROR(SEARCH("skeld",D117)))</formula>
    </cfRule>
  </conditionalFormatting>
  <conditionalFormatting sqref="D119">
    <cfRule type="containsText" dxfId="407" priority="663" operator="containsText" text="Polus">
      <formula>NOT(ISERROR(SEARCH("Polus",D119)))</formula>
    </cfRule>
    <cfRule type="containsText" dxfId="406" priority="664" operator="containsText" text="Mira">
      <formula>NOT(ISERROR(SEARCH("Mira",D119)))</formula>
    </cfRule>
    <cfRule type="containsText" dxfId="405" priority="665" operator="containsText" text="skeld">
      <formula>NOT(ISERROR(SEARCH("skeld",D119)))</formula>
    </cfRule>
  </conditionalFormatting>
  <conditionalFormatting sqref="C118">
    <cfRule type="containsText" dxfId="404" priority="661" operator="containsText" text="L">
      <formula>NOT(ISERROR(SEARCH("L",C118)))</formula>
    </cfRule>
    <cfRule type="containsText" dxfId="403" priority="662" operator="containsText" text="W">
      <formula>NOT(ISERROR(SEARCH("W",C118)))</formula>
    </cfRule>
  </conditionalFormatting>
  <conditionalFormatting sqref="D118">
    <cfRule type="containsText" dxfId="402" priority="656" operator="containsText" text="Polus">
      <formula>NOT(ISERROR(SEARCH("Polus",D118)))</formula>
    </cfRule>
    <cfRule type="containsText" dxfId="401" priority="657" operator="containsText" text="Mira">
      <formula>NOT(ISERROR(SEARCH("Mira",D118)))</formula>
    </cfRule>
    <cfRule type="containsText" dxfId="400" priority="658" operator="containsText" text="skeld">
      <formula>NOT(ISERROR(SEARCH("skeld",D118)))</formula>
    </cfRule>
  </conditionalFormatting>
  <conditionalFormatting sqref="P120:P123">
    <cfRule type="expression" dxfId="399" priority="639">
      <formula>AND(E120=9,P120=8)</formula>
    </cfRule>
    <cfRule type="expression" dxfId="398" priority="640">
      <formula>AND(E120=9,P120=7)</formula>
    </cfRule>
    <cfRule type="expression" dxfId="397" priority="641">
      <formula>AND(E120=9,P120=6)</formula>
    </cfRule>
    <cfRule type="expression" dxfId="396" priority="642">
      <formula>AND(E120=9,P120=5)</formula>
    </cfRule>
    <cfRule type="expression" dxfId="395" priority="643">
      <formula>AND(E120=9,P120=4)</formula>
    </cfRule>
    <cfRule type="expression" dxfId="394" priority="644">
      <formula>AND(E120=9,P120=3)</formula>
    </cfRule>
    <cfRule type="expression" dxfId="393" priority="645">
      <formula>AND(E120=10,P120=9)</formula>
    </cfRule>
    <cfRule type="expression" dxfId="392" priority="646">
      <formula>AND(P120=8,E120=10)</formula>
    </cfRule>
    <cfRule type="expression" dxfId="391" priority="647">
      <formula>AND(P120=7,E120=10)</formula>
    </cfRule>
    <cfRule type="expression" dxfId="390" priority="648">
      <formula>AND(P120=6,E120=10)</formula>
    </cfRule>
    <cfRule type="expression" dxfId="389" priority="649">
      <formula>AND(P120=5,E120=10)</formula>
    </cfRule>
    <cfRule type="expression" dxfId="388" priority="650">
      <formula>AND(P120=3,E120=10)</formula>
    </cfRule>
    <cfRule type="expression" dxfId="387" priority="651">
      <formula>AND(P120=4,E120=10)</formula>
    </cfRule>
    <cfRule type="expression" dxfId="386" priority="652">
      <formula>AND(P120=2,E120=10)</formula>
    </cfRule>
    <cfRule type="expression" dxfId="385" priority="653">
      <formula>AND(P120=2,E120=9)</formula>
    </cfRule>
    <cfRule type="expression" dxfId="384" priority="654">
      <formula>AND(P120=10,E120=10)</formula>
    </cfRule>
    <cfRule type="expression" dxfId="383" priority="655">
      <formula>AND(P120=9, E120=9)</formula>
    </cfRule>
  </conditionalFormatting>
  <conditionalFormatting sqref="P166:P170">
    <cfRule type="expression" dxfId="382" priority="622">
      <formula>AND(E166=9,P166=8)</formula>
    </cfRule>
    <cfRule type="expression" dxfId="381" priority="623">
      <formula>AND(E166=9,P166=7)</formula>
    </cfRule>
    <cfRule type="expression" dxfId="380" priority="624">
      <formula>AND(E166=9,P166=6)</formula>
    </cfRule>
    <cfRule type="expression" dxfId="379" priority="625">
      <formula>AND(E166=9,P166=5)</formula>
    </cfRule>
    <cfRule type="expression" dxfId="378" priority="626">
      <formula>AND(E166=9,P166=4)</formula>
    </cfRule>
    <cfRule type="expression" dxfId="377" priority="627">
      <formula>AND(E166=9,P166=3)</formula>
    </cfRule>
    <cfRule type="expression" dxfId="376" priority="628">
      <formula>AND(E166=10,P166=9)</formula>
    </cfRule>
    <cfRule type="expression" dxfId="375" priority="629">
      <formula>AND(P166=8,E166=10)</formula>
    </cfRule>
    <cfRule type="expression" dxfId="374" priority="630">
      <formula>AND(P166=7,E166=10)</formula>
    </cfRule>
    <cfRule type="expression" dxfId="373" priority="631">
      <formula>AND(P166=6,E166=10)</formula>
    </cfRule>
    <cfRule type="expression" dxfId="372" priority="632">
      <formula>AND(P166=5,E166=10)</formula>
    </cfRule>
    <cfRule type="expression" dxfId="371" priority="633">
      <formula>AND(P166=3,E166=10)</formula>
    </cfRule>
    <cfRule type="expression" dxfId="370" priority="634">
      <formula>AND(P166=4,E166=10)</formula>
    </cfRule>
    <cfRule type="expression" dxfId="369" priority="635">
      <formula>AND(P166=2,E166=10)</formula>
    </cfRule>
    <cfRule type="expression" dxfId="368" priority="636">
      <formula>AND(P166=2,E166=9)</formula>
    </cfRule>
    <cfRule type="expression" dxfId="367" priority="637">
      <formula>AND(P166=10,E166=10)</formula>
    </cfRule>
    <cfRule type="expression" dxfId="366" priority="638">
      <formula>AND(P166=9, E166=9)</formula>
    </cfRule>
  </conditionalFormatting>
  <conditionalFormatting sqref="P220:P229">
    <cfRule type="expression" dxfId="365" priority="605">
      <formula>AND(E220=9,P220=8)</formula>
    </cfRule>
    <cfRule type="expression" dxfId="364" priority="606">
      <formula>AND(E220=9,P220=7)</formula>
    </cfRule>
    <cfRule type="expression" dxfId="363" priority="607">
      <formula>AND(E220=9,P220=6)</formula>
    </cfRule>
    <cfRule type="expression" dxfId="362" priority="608">
      <formula>AND(E220=9,P220=5)</formula>
    </cfRule>
    <cfRule type="expression" dxfId="361" priority="609">
      <formula>AND(E220=9,P220=4)</formula>
    </cfRule>
    <cfRule type="expression" dxfId="360" priority="610">
      <formula>AND(E220=9,P220=3)</formula>
    </cfRule>
    <cfRule type="expression" dxfId="359" priority="611">
      <formula>AND(E220=10,P220=9)</formula>
    </cfRule>
    <cfRule type="expression" dxfId="358" priority="612">
      <formula>AND(P220=8,E220=10)</formula>
    </cfRule>
    <cfRule type="expression" dxfId="357" priority="613">
      <formula>AND(P220=7,E220=10)</formula>
    </cfRule>
    <cfRule type="expression" dxfId="356" priority="614">
      <formula>AND(P220=6,E220=10)</formula>
    </cfRule>
    <cfRule type="expression" dxfId="355" priority="615">
      <formula>AND(P220=5,E220=10)</formula>
    </cfRule>
    <cfRule type="expression" dxfId="354" priority="616">
      <formula>AND(P220=3,E220=10)</formula>
    </cfRule>
    <cfRule type="expression" dxfId="353" priority="617">
      <formula>AND(P220=4,E220=10)</formula>
    </cfRule>
    <cfRule type="expression" dxfId="352" priority="618">
      <formula>AND(P220=2,E220=10)</formula>
    </cfRule>
    <cfRule type="expression" dxfId="351" priority="619">
      <formula>AND(P220=2,E220=9)</formula>
    </cfRule>
    <cfRule type="expression" dxfId="350" priority="620">
      <formula>AND(P220=10,E220=10)</formula>
    </cfRule>
    <cfRule type="expression" dxfId="349" priority="621">
      <formula>AND(P220=9, E220=9)</formula>
    </cfRule>
  </conditionalFormatting>
  <conditionalFormatting sqref="P2:P123">
    <cfRule type="expression" dxfId="348" priority="914">
      <formula>AND(E2=9,P2=8)</formula>
    </cfRule>
    <cfRule type="expression" dxfId="347" priority="915">
      <formula>AND(E2=9,P2=7)</formula>
    </cfRule>
    <cfRule type="expression" dxfId="346" priority="916">
      <formula>AND(E2=9,P2=6)</formula>
    </cfRule>
    <cfRule type="expression" dxfId="345" priority="917">
      <formula>AND(E2=9,P2=5)</formula>
    </cfRule>
    <cfRule type="expression" dxfId="344" priority="918">
      <formula>AND(E2=9,P2=4)</formula>
    </cfRule>
    <cfRule type="expression" dxfId="343" priority="919">
      <formula>AND(E2=9,P2=3)</formula>
    </cfRule>
    <cfRule type="expression" dxfId="342" priority="920">
      <formula>AND(E2=10,P2=9)</formula>
    </cfRule>
    <cfRule type="expression" dxfId="341" priority="921">
      <formula>AND(P2=8,E2=10)</formula>
    </cfRule>
    <cfRule type="expression" dxfId="340" priority="922">
      <formula>AND(P2=7,E2=10)</formula>
    </cfRule>
    <cfRule type="expression" dxfId="339" priority="923">
      <formula>AND(P2=6,E2=10)</formula>
    </cfRule>
    <cfRule type="expression" dxfId="338" priority="924">
      <formula>AND(P2=5,E2=10)</formula>
    </cfRule>
    <cfRule type="expression" dxfId="337" priority="925">
      <formula>AND(P2=3,E2=10)</formula>
    </cfRule>
    <cfRule type="expression" dxfId="336" priority="926">
      <formula>AND(P2=4,E2=10)</formula>
    </cfRule>
    <cfRule type="expression" dxfId="335" priority="936">
      <formula>AND(P2=2,E2=10)</formula>
    </cfRule>
    <cfRule type="expression" dxfId="334" priority="937">
      <formula>AND(P2=2,E2=9)</formula>
    </cfRule>
    <cfRule type="expression" dxfId="333" priority="938">
      <formula>AND(P2=10,E2=10)</formula>
    </cfRule>
    <cfRule type="expression" dxfId="332" priority="943">
      <formula>AND(P2=9, E2=9)</formula>
    </cfRule>
  </conditionalFormatting>
  <conditionalFormatting sqref="C120">
    <cfRule type="containsText" dxfId="331" priority="599" operator="containsText" text="L">
      <formula>NOT(ISERROR(SEARCH("L",C120)))</formula>
    </cfRule>
    <cfRule type="containsText" dxfId="330" priority="600" operator="containsText" text="W">
      <formula>NOT(ISERROR(SEARCH("W",C120)))</formula>
    </cfRule>
  </conditionalFormatting>
  <conditionalFormatting sqref="D120">
    <cfRule type="containsText" dxfId="329" priority="569" operator="containsText" text="Polus">
      <formula>NOT(ISERROR(SEARCH("Polus",D120)))</formula>
    </cfRule>
    <cfRule type="containsText" dxfId="328" priority="570" operator="containsText" text="Mira">
      <formula>NOT(ISERROR(SEARCH("Mira",D120)))</formula>
    </cfRule>
    <cfRule type="containsText" dxfId="327" priority="571" operator="containsText" text="skeld">
      <formula>NOT(ISERROR(SEARCH("skeld",D120)))</formula>
    </cfRule>
  </conditionalFormatting>
  <conditionalFormatting sqref="C121">
    <cfRule type="containsText" dxfId="326" priority="565" operator="containsText" text="L">
      <formula>NOT(ISERROR(SEARCH("L",C121)))</formula>
    </cfRule>
    <cfRule type="containsText" dxfId="325" priority="566" operator="containsText" text="W">
      <formula>NOT(ISERROR(SEARCH("W",C121)))</formula>
    </cfRule>
  </conditionalFormatting>
  <conditionalFormatting sqref="D121">
    <cfRule type="containsText" dxfId="324" priority="562" operator="containsText" text="Polus">
      <formula>NOT(ISERROR(SEARCH("Polus",D121)))</formula>
    </cfRule>
    <cfRule type="containsText" dxfId="323" priority="563" operator="containsText" text="Mira">
      <formula>NOT(ISERROR(SEARCH("Mira",D121)))</formula>
    </cfRule>
    <cfRule type="containsText" dxfId="322" priority="564" operator="containsText" text="skeld">
      <formula>NOT(ISERROR(SEARCH("skeld",D121)))</formula>
    </cfRule>
  </conditionalFormatting>
  <conditionalFormatting sqref="C122">
    <cfRule type="containsText" dxfId="321" priority="558" operator="containsText" text="L">
      <formula>NOT(ISERROR(SEARCH("L",C122)))</formula>
    </cfRule>
    <cfRule type="containsText" dxfId="320" priority="559" operator="containsText" text="W">
      <formula>NOT(ISERROR(SEARCH("W",C122)))</formula>
    </cfRule>
  </conditionalFormatting>
  <conditionalFormatting sqref="D122">
    <cfRule type="containsText" dxfId="319" priority="555" operator="containsText" text="Polus">
      <formula>NOT(ISERROR(SEARCH("Polus",D122)))</formula>
    </cfRule>
    <cfRule type="containsText" dxfId="318" priority="556" operator="containsText" text="Mira">
      <formula>NOT(ISERROR(SEARCH("Mira",D122)))</formula>
    </cfRule>
    <cfRule type="containsText" dxfId="317" priority="557" operator="containsText" text="skeld">
      <formula>NOT(ISERROR(SEARCH("skeld",D122)))</formula>
    </cfRule>
  </conditionalFormatting>
  <conditionalFormatting sqref="C123 C131">
    <cfRule type="containsText" dxfId="316" priority="551" operator="containsText" text="L">
      <formula>NOT(ISERROR(SEARCH("L",C123)))</formula>
    </cfRule>
    <cfRule type="containsText" dxfId="315" priority="552" operator="containsText" text="W">
      <formula>NOT(ISERROR(SEARCH("W",C123)))</formula>
    </cfRule>
  </conditionalFormatting>
  <conditionalFormatting sqref="D123">
    <cfRule type="containsText" dxfId="314" priority="546" operator="containsText" text="Polus">
      <formula>NOT(ISERROR(SEARCH("Polus",D123)))</formula>
    </cfRule>
    <cfRule type="containsText" dxfId="313" priority="547" operator="containsText" text="Mira">
      <formula>NOT(ISERROR(SEARCH("Mira",D123)))</formula>
    </cfRule>
    <cfRule type="containsText" dxfId="312" priority="548" operator="containsText" text="skeld">
      <formula>NOT(ISERROR(SEARCH("skeld",D123)))</formula>
    </cfRule>
  </conditionalFormatting>
  <conditionalFormatting sqref="C124 C132">
    <cfRule type="containsText" dxfId="311" priority="544" operator="containsText" text="L">
      <formula>NOT(ISERROR(SEARCH("L",C124)))</formula>
    </cfRule>
    <cfRule type="containsText" dxfId="310" priority="545" operator="containsText" text="W">
      <formula>NOT(ISERROR(SEARCH("W",C124)))</formula>
    </cfRule>
  </conditionalFormatting>
  <conditionalFormatting sqref="D124">
    <cfRule type="containsText" dxfId="309" priority="522" operator="containsText" text="Polus">
      <formula>NOT(ISERROR(SEARCH("Polus",D124)))</formula>
    </cfRule>
    <cfRule type="containsText" dxfId="308" priority="523" operator="containsText" text="Mira">
      <formula>NOT(ISERROR(SEARCH("Mira",D124)))</formula>
    </cfRule>
    <cfRule type="containsText" dxfId="307" priority="524" operator="containsText" text="skeld">
      <formula>NOT(ISERROR(SEARCH("skeld",D124)))</formula>
    </cfRule>
  </conditionalFormatting>
  <conditionalFormatting sqref="P127">
    <cfRule type="expression" dxfId="306" priority="495">
      <formula>AND(E127=9,P127=8)</formula>
    </cfRule>
    <cfRule type="expression" dxfId="305" priority="496">
      <formula>AND(E127=9,P127=7)</formula>
    </cfRule>
    <cfRule type="expression" dxfId="304" priority="497">
      <formula>AND(E127=9,P127=6)</formula>
    </cfRule>
    <cfRule type="expression" dxfId="303" priority="498">
      <formula>AND(E127=9,P127=5)</formula>
    </cfRule>
    <cfRule type="expression" dxfId="302" priority="499">
      <formula>AND(E127=9,P127=4)</formula>
    </cfRule>
    <cfRule type="expression" dxfId="301" priority="500">
      <formula>AND(E127=9,P127=3)</formula>
    </cfRule>
    <cfRule type="expression" dxfId="300" priority="501">
      <formula>AND(E127=10,P127=9)</formula>
    </cfRule>
    <cfRule type="expression" dxfId="299" priority="502">
      <formula>AND(P127=8,E127=10)</formula>
    </cfRule>
    <cfRule type="expression" dxfId="298" priority="503">
      <formula>AND(P127=7,E127=10)</formula>
    </cfRule>
    <cfRule type="expression" dxfId="297" priority="504">
      <formula>AND(P127=6,E127=10)</formula>
    </cfRule>
    <cfRule type="expression" dxfId="296" priority="505">
      <formula>AND(P127=5,E127=10)</formula>
    </cfRule>
    <cfRule type="expression" dxfId="295" priority="506">
      <formula>AND(P127=3,E127=10)</formula>
    </cfRule>
    <cfRule type="expression" dxfId="294" priority="507">
      <formula>AND(P127=4,E127=10)</formula>
    </cfRule>
    <cfRule type="expression" dxfId="293" priority="508">
      <formula>AND(P127=2,E127=10)</formula>
    </cfRule>
    <cfRule type="expression" dxfId="292" priority="509">
      <formula>AND(P127=2,E127=9)</formula>
    </cfRule>
    <cfRule type="expression" dxfId="291" priority="510">
      <formula>AND(P127=10,E127=10)</formula>
    </cfRule>
    <cfRule type="expression" dxfId="290" priority="511">
      <formula>AND(P127=9, E127=9)</formula>
    </cfRule>
  </conditionalFormatting>
  <conditionalFormatting sqref="P124:P127">
    <cfRule type="expression" dxfId="289" priority="525">
      <formula>AND(E124=9,P124=8)</formula>
    </cfRule>
    <cfRule type="expression" dxfId="288" priority="526">
      <formula>AND(E124=9,P124=7)</formula>
    </cfRule>
    <cfRule type="expression" dxfId="287" priority="527">
      <formula>AND(E124=9,P124=6)</formula>
    </cfRule>
    <cfRule type="expression" dxfId="286" priority="528">
      <formula>AND(E124=9,P124=5)</formula>
    </cfRule>
    <cfRule type="expression" dxfId="285" priority="529">
      <formula>AND(E124=9,P124=4)</formula>
    </cfRule>
    <cfRule type="expression" dxfId="284" priority="530">
      <formula>AND(E124=9,P124=3)</formula>
    </cfRule>
    <cfRule type="expression" dxfId="283" priority="531">
      <formula>AND(E124=10,P124=9)</formula>
    </cfRule>
    <cfRule type="expression" dxfId="282" priority="532">
      <formula>AND(P124=8,E124=10)</formula>
    </cfRule>
    <cfRule type="expression" dxfId="281" priority="533">
      <formula>AND(P124=7,E124=10)</formula>
    </cfRule>
    <cfRule type="expression" dxfId="280" priority="534">
      <formula>AND(P124=6,E124=10)</formula>
    </cfRule>
    <cfRule type="expression" dxfId="279" priority="535">
      <formula>AND(P124=5,E124=10)</formula>
    </cfRule>
    <cfRule type="expression" dxfId="278" priority="536">
      <formula>AND(P124=3,E124=10)</formula>
    </cfRule>
    <cfRule type="expression" dxfId="277" priority="537">
      <formula>AND(P124=4,E124=10)</formula>
    </cfRule>
    <cfRule type="expression" dxfId="276" priority="538">
      <formula>AND(P124=2,E124=10)</formula>
    </cfRule>
    <cfRule type="expression" dxfId="275" priority="539">
      <formula>AND(P124=2,E124=9)</formula>
    </cfRule>
    <cfRule type="expression" dxfId="274" priority="540">
      <formula>AND(P124=10,E124=10)</formula>
    </cfRule>
    <cfRule type="expression" dxfId="273" priority="541">
      <formula>AND(P124=9, E124=9)</formula>
    </cfRule>
  </conditionalFormatting>
  <conditionalFormatting sqref="C125:C126">
    <cfRule type="containsText" dxfId="272" priority="465" operator="containsText" text="L">
      <formula>NOT(ISERROR(SEARCH("L",C125)))</formula>
    </cfRule>
    <cfRule type="containsText" dxfId="271" priority="466" operator="containsText" text="W">
      <formula>NOT(ISERROR(SEARCH("W",C125)))</formula>
    </cfRule>
  </conditionalFormatting>
  <conditionalFormatting sqref="D125">
    <cfRule type="containsText" dxfId="270" priority="462" operator="containsText" text="Polus">
      <formula>NOT(ISERROR(SEARCH("Polus",D125)))</formula>
    </cfRule>
    <cfRule type="containsText" dxfId="269" priority="463" operator="containsText" text="Mira">
      <formula>NOT(ISERROR(SEARCH("Mira",D125)))</formula>
    </cfRule>
    <cfRule type="containsText" dxfId="268" priority="464" operator="containsText" text="skeld">
      <formula>NOT(ISERROR(SEARCH("skeld",D125)))</formula>
    </cfRule>
  </conditionalFormatting>
  <conditionalFormatting sqref="C126">
    <cfRule type="containsText" dxfId="267" priority="460" operator="containsText" text="L">
      <formula>NOT(ISERROR(SEARCH("L",C126)))</formula>
    </cfRule>
    <cfRule type="containsText" dxfId="266" priority="461" operator="containsText" text="W">
      <formula>NOT(ISERROR(SEARCH("W",C126)))</formula>
    </cfRule>
  </conditionalFormatting>
  <conditionalFormatting sqref="D126">
    <cfRule type="containsText" dxfId="265" priority="457" operator="containsText" text="Polus">
      <formula>NOT(ISERROR(SEARCH("Polus",D126)))</formula>
    </cfRule>
    <cfRule type="containsText" dxfId="264" priority="458" operator="containsText" text="Mira">
      <formula>NOT(ISERROR(SEARCH("Mira",D126)))</formula>
    </cfRule>
    <cfRule type="containsText" dxfId="263" priority="459" operator="containsText" text="skeld">
      <formula>NOT(ISERROR(SEARCH("skeld",D126)))</formula>
    </cfRule>
  </conditionalFormatting>
  <conditionalFormatting sqref="C127">
    <cfRule type="containsText" dxfId="262" priority="453" operator="containsText" text="L">
      <formula>NOT(ISERROR(SEARCH("L",C127)))</formula>
    </cfRule>
    <cfRule type="containsText" dxfId="261" priority="454" operator="containsText" text="W">
      <formula>NOT(ISERROR(SEARCH("W",C127)))</formula>
    </cfRule>
  </conditionalFormatting>
  <conditionalFormatting sqref="D127">
    <cfRule type="containsText" dxfId="260" priority="450" operator="containsText" text="Polus">
      <formula>NOT(ISERROR(SEARCH("Polus",D127)))</formula>
    </cfRule>
    <cfRule type="containsText" dxfId="259" priority="451" operator="containsText" text="Mira">
      <formula>NOT(ISERROR(SEARCH("Mira",D127)))</formula>
    </cfRule>
    <cfRule type="containsText" dxfId="258" priority="452" operator="containsText" text="skeld">
      <formula>NOT(ISERROR(SEARCH("skeld",D127)))</formula>
    </cfRule>
  </conditionalFormatting>
  <conditionalFormatting sqref="T128">
    <cfRule type="cellIs" dxfId="257" priority="428" operator="between">
      <formula>2</formula>
      <formula>3</formula>
    </cfRule>
    <cfRule type="cellIs" dxfId="256" priority="429" operator="greaterThan">
      <formula>3</formula>
    </cfRule>
    <cfRule type="cellIs" dxfId="255" priority="430" operator="lessThan">
      <formula>2</formula>
    </cfRule>
  </conditionalFormatting>
  <conditionalFormatting sqref="P128">
    <cfRule type="expression" dxfId="254" priority="411">
      <formula>AND(E128=9,P128=8)</formula>
    </cfRule>
    <cfRule type="expression" dxfId="253" priority="412">
      <formula>AND(E128=9,P128=7)</formula>
    </cfRule>
    <cfRule type="expression" dxfId="252" priority="413">
      <formula>AND(E128=9,P128=6)</formula>
    </cfRule>
    <cfRule type="expression" dxfId="251" priority="414">
      <formula>AND(E128=9,P128=5)</formula>
    </cfRule>
    <cfRule type="expression" dxfId="250" priority="415">
      <formula>AND(E128=9,P128=4)</formula>
    </cfRule>
    <cfRule type="expression" dxfId="249" priority="416">
      <formula>AND(E128=9,P128=3)</formula>
    </cfRule>
    <cfRule type="expression" dxfId="248" priority="417">
      <formula>AND(E128=10,P128=9)</formula>
    </cfRule>
    <cfRule type="expression" dxfId="247" priority="418">
      <formula>AND(P128=8,E128=10)</formula>
    </cfRule>
    <cfRule type="expression" dxfId="246" priority="419">
      <formula>AND(P128=7,E128=10)</formula>
    </cfRule>
    <cfRule type="expression" dxfId="245" priority="420">
      <formula>AND(P128=6,E128=10)</formula>
    </cfRule>
    <cfRule type="expression" dxfId="244" priority="421">
      <formula>AND(P128=5,E128=10)</formula>
    </cfRule>
    <cfRule type="expression" dxfId="243" priority="422">
      <formula>AND(P128=3,E128=10)</formula>
    </cfRule>
    <cfRule type="expression" dxfId="242" priority="423">
      <formula>AND(P128=4,E128=10)</formula>
    </cfRule>
    <cfRule type="expression" dxfId="241" priority="424">
      <formula>AND(P128=2,E128=10)</formula>
    </cfRule>
    <cfRule type="expression" dxfId="240" priority="425">
      <formula>AND(P128=2,E128=9)</formula>
    </cfRule>
    <cfRule type="expression" dxfId="239" priority="426">
      <formula>AND(P128=10,E128=10)</formula>
    </cfRule>
    <cfRule type="expression" dxfId="238" priority="427">
      <formula>AND(P128=9, E128=9)</formula>
    </cfRule>
  </conditionalFormatting>
  <conditionalFormatting sqref="P128">
    <cfRule type="expression" dxfId="237" priority="431">
      <formula>AND(E128=9,P128=8)</formula>
    </cfRule>
    <cfRule type="expression" dxfId="236" priority="432">
      <formula>AND(E128=9,P128=7)</formula>
    </cfRule>
    <cfRule type="expression" dxfId="235" priority="433">
      <formula>AND(E128=9,P128=6)</formula>
    </cfRule>
    <cfRule type="expression" dxfId="234" priority="434">
      <formula>AND(E128=9,P128=5)</formula>
    </cfRule>
    <cfRule type="expression" dxfId="233" priority="435">
      <formula>AND(E128=9,P128=4)</formula>
    </cfRule>
    <cfRule type="expression" dxfId="232" priority="436">
      <formula>AND(E128=9,P128=3)</formula>
    </cfRule>
    <cfRule type="expression" dxfId="231" priority="437">
      <formula>AND(E128=10,P128=9)</formula>
    </cfRule>
    <cfRule type="expression" dxfId="230" priority="438">
      <formula>AND(P128=8,E128=10)</formula>
    </cfRule>
    <cfRule type="expression" dxfId="229" priority="439">
      <formula>AND(P128=7,E128=10)</formula>
    </cfRule>
    <cfRule type="expression" dxfId="228" priority="440">
      <formula>AND(P128=6,E128=10)</formula>
    </cfRule>
    <cfRule type="expression" dxfId="227" priority="441">
      <formula>AND(P128=5,E128=10)</formula>
    </cfRule>
    <cfRule type="expression" dxfId="226" priority="442">
      <formula>AND(P128=3,E128=10)</formula>
    </cfRule>
    <cfRule type="expression" dxfId="225" priority="443">
      <formula>AND(P128=4,E128=10)</formula>
    </cfRule>
    <cfRule type="expression" dxfId="224" priority="444">
      <formula>AND(P128=2,E128=10)</formula>
    </cfRule>
    <cfRule type="expression" dxfId="223" priority="445">
      <formula>AND(P128=2,E128=9)</formula>
    </cfRule>
    <cfRule type="expression" dxfId="222" priority="446">
      <formula>AND(P128=10,E128=10)</formula>
    </cfRule>
    <cfRule type="expression" dxfId="221" priority="447">
      <formula>AND(P128=9, E128=9)</formula>
    </cfRule>
  </conditionalFormatting>
  <conditionalFormatting sqref="C128">
    <cfRule type="containsText" dxfId="220" priority="409" operator="containsText" text="L">
      <formula>NOT(ISERROR(SEARCH("L",C128)))</formula>
    </cfRule>
    <cfRule type="containsText" dxfId="219" priority="410" operator="containsText" text="W">
      <formula>NOT(ISERROR(SEARCH("W",C128)))</formula>
    </cfRule>
  </conditionalFormatting>
  <conditionalFormatting sqref="D128">
    <cfRule type="containsText" dxfId="218" priority="406" operator="containsText" text="Polus">
      <formula>NOT(ISERROR(SEARCH("Polus",D128)))</formula>
    </cfRule>
    <cfRule type="containsText" dxfId="217" priority="407" operator="containsText" text="Mira">
      <formula>NOT(ISERROR(SEARCH("Mira",D128)))</formula>
    </cfRule>
    <cfRule type="containsText" dxfId="216" priority="408" operator="containsText" text="skeld">
      <formula>NOT(ISERROR(SEARCH("skeld",D128)))</formula>
    </cfRule>
  </conditionalFormatting>
  <conditionalFormatting sqref="D129">
    <cfRule type="containsText" dxfId="215" priority="325" operator="containsText" text="Polus">
      <formula>NOT(ISERROR(SEARCH("Polus",D129)))</formula>
    </cfRule>
    <cfRule type="containsText" dxfId="214" priority="326" operator="containsText" text="Mira">
      <formula>NOT(ISERROR(SEARCH("Mira",D129)))</formula>
    </cfRule>
    <cfRule type="containsText" dxfId="213" priority="327" operator="containsText" text="skeld">
      <formula>NOT(ISERROR(SEARCH("skeld",D129)))</formula>
    </cfRule>
  </conditionalFormatting>
  <conditionalFormatting sqref="C129">
    <cfRule type="containsText" dxfId="212" priority="321" operator="containsText" text="L">
      <formula>NOT(ISERROR(SEARCH("L",C129)))</formula>
    </cfRule>
    <cfRule type="containsText" dxfId="211" priority="322" operator="containsText" text="W">
      <formula>NOT(ISERROR(SEARCH("W",C129)))</formula>
    </cfRule>
  </conditionalFormatting>
  <conditionalFormatting sqref="D130 D132">
    <cfRule type="containsText" dxfId="210" priority="318" operator="containsText" text="Polus">
      <formula>NOT(ISERROR(SEARCH("Polus",D130)))</formula>
    </cfRule>
    <cfRule type="containsText" dxfId="209" priority="319" operator="containsText" text="Mira">
      <formula>NOT(ISERROR(SEARCH("Mira",D130)))</formula>
    </cfRule>
    <cfRule type="containsText" dxfId="208" priority="320" operator="containsText" text="skeld">
      <formula>NOT(ISERROR(SEARCH("skeld",D130)))</formula>
    </cfRule>
  </conditionalFormatting>
  <conditionalFormatting sqref="C130:C135">
    <cfRule type="containsText" dxfId="207" priority="314" operator="containsText" text="L">
      <formula>NOT(ISERROR(SEARCH("L",C130)))</formula>
    </cfRule>
    <cfRule type="containsText" dxfId="206" priority="315" operator="containsText" text="W">
      <formula>NOT(ISERROR(SEARCH("W",C130)))</formula>
    </cfRule>
  </conditionalFormatting>
  <conditionalFormatting sqref="D131">
    <cfRule type="containsText" dxfId="205" priority="311" operator="containsText" text="Polus">
      <formula>NOT(ISERROR(SEARCH("Polus",D131)))</formula>
    </cfRule>
    <cfRule type="containsText" dxfId="204" priority="312" operator="containsText" text="Mira">
      <formula>NOT(ISERROR(SEARCH("Mira",D131)))</formula>
    </cfRule>
    <cfRule type="containsText" dxfId="203" priority="313" operator="containsText" text="skeld">
      <formula>NOT(ISERROR(SEARCH("skeld",D131)))</formula>
    </cfRule>
  </conditionalFormatting>
  <conditionalFormatting sqref="C133">
    <cfRule type="containsText" dxfId="202" priority="307" operator="containsText" text="L">
      <formula>NOT(ISERROR(SEARCH("L",C133)))</formula>
    </cfRule>
    <cfRule type="containsText" dxfId="201" priority="308" operator="containsText" text="W">
      <formula>NOT(ISERROR(SEARCH("W",C133)))</formula>
    </cfRule>
  </conditionalFormatting>
  <conditionalFormatting sqref="D133">
    <cfRule type="containsText" dxfId="200" priority="304" operator="containsText" text="Polus">
      <formula>NOT(ISERROR(SEARCH("Polus",D133)))</formula>
    </cfRule>
    <cfRule type="containsText" dxfId="199" priority="305" operator="containsText" text="Mira">
      <formula>NOT(ISERROR(SEARCH("Mira",D133)))</formula>
    </cfRule>
    <cfRule type="containsText" dxfId="198" priority="306" operator="containsText" text="skeld">
      <formula>NOT(ISERROR(SEARCH("skeld",D133)))</formula>
    </cfRule>
  </conditionalFormatting>
  <conditionalFormatting sqref="C134">
    <cfRule type="containsText" dxfId="197" priority="300" operator="containsText" text="L">
      <formula>NOT(ISERROR(SEARCH("L",C134)))</formula>
    </cfRule>
    <cfRule type="containsText" dxfId="196" priority="301" operator="containsText" text="W">
      <formula>NOT(ISERROR(SEARCH("W",C134)))</formula>
    </cfRule>
  </conditionalFormatting>
  <conditionalFormatting sqref="D134">
    <cfRule type="containsText" dxfId="195" priority="297" operator="containsText" text="Polus">
      <formula>NOT(ISERROR(SEARCH("Polus",D134)))</formula>
    </cfRule>
    <cfRule type="containsText" dxfId="194" priority="298" operator="containsText" text="Mira">
      <formula>NOT(ISERROR(SEARCH("Mira",D134)))</formula>
    </cfRule>
    <cfRule type="containsText" dxfId="193" priority="299" operator="containsText" text="skeld">
      <formula>NOT(ISERROR(SEARCH("skeld",D134)))</formula>
    </cfRule>
  </conditionalFormatting>
  <conditionalFormatting sqref="T135:T140">
    <cfRule type="cellIs" dxfId="192" priority="268" operator="between">
      <formula>2</formula>
      <formula>3</formula>
    </cfRule>
    <cfRule type="cellIs" dxfId="191" priority="269" operator="greaterThan">
      <formula>3</formula>
    </cfRule>
    <cfRule type="cellIs" dxfId="190" priority="270" operator="lessThan">
      <formula>2</formula>
    </cfRule>
  </conditionalFormatting>
  <conditionalFormatting sqref="P135:P137">
    <cfRule type="expression" dxfId="189" priority="251">
      <formula>AND(E135=9,P135=8)</formula>
    </cfRule>
    <cfRule type="expression" dxfId="188" priority="252">
      <formula>AND(E135=9,P135=7)</formula>
    </cfRule>
    <cfRule type="expression" dxfId="187" priority="253">
      <formula>AND(E135=9,P135=6)</formula>
    </cfRule>
    <cfRule type="expression" dxfId="186" priority="254">
      <formula>AND(E135=9,P135=5)</formula>
    </cfRule>
    <cfRule type="expression" dxfId="185" priority="255">
      <formula>AND(E135=9,P135=4)</formula>
    </cfRule>
    <cfRule type="expression" dxfId="184" priority="256">
      <formula>AND(E135=9,P135=3)</formula>
    </cfRule>
    <cfRule type="expression" dxfId="183" priority="257">
      <formula>AND(E135=10,P135=9)</formula>
    </cfRule>
    <cfRule type="expression" dxfId="182" priority="258">
      <formula>AND(P135=8,E135=10)</formula>
    </cfRule>
    <cfRule type="expression" dxfId="181" priority="259">
      <formula>AND(P135=7,E135=10)</formula>
    </cfRule>
    <cfRule type="expression" dxfId="180" priority="260">
      <formula>AND(P135=6,E135=10)</formula>
    </cfRule>
    <cfRule type="expression" dxfId="179" priority="261">
      <formula>AND(P135=5,E135=10)</formula>
    </cfRule>
    <cfRule type="expression" dxfId="178" priority="262">
      <formula>AND(P135=3,E135=10)</formula>
    </cfRule>
    <cfRule type="expression" dxfId="177" priority="263">
      <formula>AND(P135=4,E135=10)</formula>
    </cfRule>
    <cfRule type="expression" dxfId="176" priority="264">
      <formula>AND(P135=2,E135=10)</formula>
    </cfRule>
    <cfRule type="expression" dxfId="175" priority="265">
      <formula>AND(P135=2,E135=9)</formula>
    </cfRule>
    <cfRule type="expression" dxfId="174" priority="266">
      <formula>AND(P135=10,E135=10)</formula>
    </cfRule>
    <cfRule type="expression" dxfId="173" priority="267">
      <formula>AND(P135=9, E135=9)</formula>
    </cfRule>
  </conditionalFormatting>
  <conditionalFormatting sqref="P135:P137">
    <cfRule type="expression" dxfId="172" priority="271">
      <formula>AND(E135=9,P135=8)</formula>
    </cfRule>
    <cfRule type="expression" dxfId="171" priority="272">
      <formula>AND(E135=9,P135=7)</formula>
    </cfRule>
    <cfRule type="expression" dxfId="170" priority="273">
      <formula>AND(E135=9,P135=6)</formula>
    </cfRule>
    <cfRule type="expression" dxfId="169" priority="274">
      <formula>AND(E135=9,P135=5)</formula>
    </cfRule>
    <cfRule type="expression" dxfId="168" priority="275">
      <formula>AND(E135=9,P135=4)</formula>
    </cfRule>
    <cfRule type="expression" dxfId="167" priority="276">
      <formula>AND(E135=9,P135=3)</formula>
    </cfRule>
    <cfRule type="expression" dxfId="166" priority="277">
      <formula>AND(E135=10,P135=9)</formula>
    </cfRule>
    <cfRule type="expression" dxfId="165" priority="278">
      <formula>AND(P135=8,E135=10)</formula>
    </cfRule>
    <cfRule type="expression" dxfId="164" priority="279">
      <formula>AND(P135=7,E135=10)</formula>
    </cfRule>
    <cfRule type="expression" dxfId="163" priority="280">
      <formula>AND(P135=6,E135=10)</formula>
    </cfRule>
    <cfRule type="expression" dxfId="162" priority="281">
      <formula>AND(P135=5,E135=10)</formula>
    </cfRule>
    <cfRule type="expression" dxfId="161" priority="282">
      <formula>AND(P135=3,E135=10)</formula>
    </cfRule>
    <cfRule type="expression" dxfId="160" priority="283">
      <formula>AND(P135=4,E135=10)</formula>
    </cfRule>
    <cfRule type="expression" dxfId="159" priority="284">
      <formula>AND(P135=2,E135=10)</formula>
    </cfRule>
    <cfRule type="expression" dxfId="158" priority="285">
      <formula>AND(P135=2,E135=9)</formula>
    </cfRule>
    <cfRule type="expression" dxfId="157" priority="286">
      <formula>AND(P135=10,E135=10)</formula>
    </cfRule>
    <cfRule type="expression" dxfId="156" priority="287">
      <formula>AND(P135=9, E135=9)</formula>
    </cfRule>
  </conditionalFormatting>
  <conditionalFormatting sqref="C137:C141">
    <cfRule type="containsText" dxfId="155" priority="249" operator="containsText" text="L">
      <formula>NOT(ISERROR(SEARCH("L",C137)))</formula>
    </cfRule>
    <cfRule type="containsText" dxfId="154" priority="250" operator="containsText" text="W">
      <formula>NOT(ISERROR(SEARCH("W",C137)))</formula>
    </cfRule>
  </conditionalFormatting>
  <conditionalFormatting sqref="C138">
    <cfRule type="containsText" dxfId="153" priority="247" operator="containsText" text="L">
      <formula>NOT(ISERROR(SEARCH("L",C138)))</formula>
    </cfRule>
    <cfRule type="containsText" dxfId="152" priority="248" operator="containsText" text="W">
      <formula>NOT(ISERROR(SEARCH("W",C138)))</formula>
    </cfRule>
  </conditionalFormatting>
  <conditionalFormatting sqref="P138:P140">
    <cfRule type="expression" dxfId="151" priority="230">
      <formula>AND(E138=9,P138=8)</formula>
    </cfRule>
    <cfRule type="expression" dxfId="150" priority="231">
      <formula>AND(E138=9,P138=7)</formula>
    </cfRule>
    <cfRule type="expression" dxfId="149" priority="232">
      <formula>AND(E138=9,P138=6)</formula>
    </cfRule>
    <cfRule type="expression" dxfId="148" priority="233">
      <formula>AND(E138=9,P138=5)</formula>
    </cfRule>
    <cfRule type="expression" dxfId="147" priority="234">
      <formula>AND(E138=9,P138=4)</formula>
    </cfRule>
    <cfRule type="expression" dxfId="146" priority="235">
      <formula>AND(E138=9,P138=3)</formula>
    </cfRule>
    <cfRule type="expression" dxfId="145" priority="236">
      <formula>AND(E138=10,P138=9)</formula>
    </cfRule>
    <cfRule type="expression" dxfId="144" priority="237">
      <formula>AND(P138=8,E138=10)</formula>
    </cfRule>
    <cfRule type="expression" dxfId="143" priority="238">
      <formula>AND(P138=7,E138=10)</formula>
    </cfRule>
    <cfRule type="expression" dxfId="142" priority="239">
      <formula>AND(P138=6,E138=10)</formula>
    </cfRule>
    <cfRule type="expression" dxfId="141" priority="240">
      <formula>AND(P138=5,E138=10)</formula>
    </cfRule>
    <cfRule type="expression" dxfId="140" priority="241">
      <formula>AND(P138=3,E138=10)</formula>
    </cfRule>
    <cfRule type="expression" dxfId="139" priority="242">
      <formula>AND(P138=4,E138=10)</formula>
    </cfRule>
    <cfRule type="expression" dxfId="138" priority="243">
      <formula>AND(P138=2,E138=10)</formula>
    </cfRule>
    <cfRule type="expression" dxfId="137" priority="244">
      <formula>AND(P138=2,E138=9)</formula>
    </cfRule>
    <cfRule type="expression" dxfId="136" priority="245">
      <formula>AND(P138=10,E138=10)</formula>
    </cfRule>
    <cfRule type="expression" dxfId="135" priority="246">
      <formula>AND(P138=9, E138=9)</formula>
    </cfRule>
  </conditionalFormatting>
  <conditionalFormatting sqref="D135">
    <cfRule type="containsText" dxfId="134" priority="227" operator="containsText" text="Polus">
      <formula>NOT(ISERROR(SEARCH("Polus",D135)))</formula>
    </cfRule>
    <cfRule type="containsText" dxfId="133" priority="228" operator="containsText" text="Mira">
      <formula>NOT(ISERROR(SEARCH("Mira",D135)))</formula>
    </cfRule>
    <cfRule type="containsText" dxfId="132" priority="229" operator="containsText" text="skeld">
      <formula>NOT(ISERROR(SEARCH("skeld",D135)))</formula>
    </cfRule>
  </conditionalFormatting>
  <conditionalFormatting sqref="C135">
    <cfRule type="containsText" dxfId="131" priority="223" operator="containsText" text="L">
      <formula>NOT(ISERROR(SEARCH("L",C135)))</formula>
    </cfRule>
    <cfRule type="containsText" dxfId="130" priority="224" operator="containsText" text="W">
      <formula>NOT(ISERROR(SEARCH("W",C135)))</formula>
    </cfRule>
  </conditionalFormatting>
  <conditionalFormatting sqref="D136 D138 D143">
    <cfRule type="containsText" dxfId="129" priority="220" operator="containsText" text="Polus">
      <formula>NOT(ISERROR(SEARCH("Polus",D136)))</formula>
    </cfRule>
    <cfRule type="containsText" dxfId="128" priority="221" operator="containsText" text="Mira">
      <formula>NOT(ISERROR(SEARCH("Mira",D136)))</formula>
    </cfRule>
    <cfRule type="containsText" dxfId="127" priority="222" operator="containsText" text="skeld">
      <formula>NOT(ISERROR(SEARCH("skeld",D136)))</formula>
    </cfRule>
  </conditionalFormatting>
  <conditionalFormatting sqref="C136">
    <cfRule type="containsText" dxfId="126" priority="216" operator="containsText" text="L">
      <formula>NOT(ISERROR(SEARCH("L",C136)))</formula>
    </cfRule>
    <cfRule type="containsText" dxfId="125" priority="217" operator="containsText" text="W">
      <formula>NOT(ISERROR(SEARCH("W",C136)))</formula>
    </cfRule>
  </conditionalFormatting>
  <conditionalFormatting sqref="D137">
    <cfRule type="containsText" dxfId="124" priority="213" operator="containsText" text="Polus">
      <formula>NOT(ISERROR(SEARCH("Polus",D137)))</formula>
    </cfRule>
    <cfRule type="containsText" dxfId="123" priority="214" operator="containsText" text="Mira">
      <formula>NOT(ISERROR(SEARCH("Mira",D137)))</formula>
    </cfRule>
    <cfRule type="containsText" dxfId="122" priority="215" operator="containsText" text="skeld">
      <formula>NOT(ISERROR(SEARCH("skeld",D137)))</formula>
    </cfRule>
  </conditionalFormatting>
  <conditionalFormatting sqref="C139">
    <cfRule type="containsText" dxfId="121" priority="209" operator="containsText" text="L">
      <formula>NOT(ISERROR(SEARCH("L",C139)))</formula>
    </cfRule>
    <cfRule type="containsText" dxfId="120" priority="210" operator="containsText" text="W">
      <formula>NOT(ISERROR(SEARCH("W",C139)))</formula>
    </cfRule>
  </conditionalFormatting>
  <conditionalFormatting sqref="D139 D144">
    <cfRule type="containsText" dxfId="119" priority="206" operator="containsText" text="Polus">
      <formula>NOT(ISERROR(SEARCH("Polus",D139)))</formula>
    </cfRule>
    <cfRule type="containsText" dxfId="118" priority="207" operator="containsText" text="Mira">
      <formula>NOT(ISERROR(SEARCH("Mira",D139)))</formula>
    </cfRule>
    <cfRule type="containsText" dxfId="117" priority="208" operator="containsText" text="skeld">
      <formula>NOT(ISERROR(SEARCH("skeld",D139)))</formula>
    </cfRule>
  </conditionalFormatting>
  <conditionalFormatting sqref="C140">
    <cfRule type="containsText" dxfId="116" priority="202" operator="containsText" text="L">
      <formula>NOT(ISERROR(SEARCH("L",C140)))</formula>
    </cfRule>
    <cfRule type="containsText" dxfId="115" priority="203" operator="containsText" text="W">
      <formula>NOT(ISERROR(SEARCH("W",C140)))</formula>
    </cfRule>
  </conditionalFormatting>
  <conditionalFormatting sqref="D140">
    <cfRule type="containsText" dxfId="114" priority="199" operator="containsText" text="Polus">
      <formula>NOT(ISERROR(SEARCH("Polus",D140)))</formula>
    </cfRule>
    <cfRule type="containsText" dxfId="113" priority="200" operator="containsText" text="Mira">
      <formula>NOT(ISERROR(SEARCH("Mira",D140)))</formula>
    </cfRule>
    <cfRule type="containsText" dxfId="112" priority="201" operator="containsText" text="skeld">
      <formula>NOT(ISERROR(SEARCH("skeld",D140)))</formula>
    </cfRule>
  </conditionalFormatting>
  <conditionalFormatting sqref="T141:T144">
    <cfRule type="cellIs" dxfId="111" priority="177" operator="between">
      <formula>2</formula>
      <formula>3</formula>
    </cfRule>
    <cfRule type="cellIs" dxfId="110" priority="178" operator="greaterThan">
      <formula>3</formula>
    </cfRule>
    <cfRule type="cellIs" dxfId="109" priority="179" operator="lessThan">
      <formula>2</formula>
    </cfRule>
  </conditionalFormatting>
  <conditionalFormatting sqref="P141">
    <cfRule type="expression" dxfId="108" priority="160">
      <formula>AND(E141=9,P141=8)</formula>
    </cfRule>
    <cfRule type="expression" dxfId="107" priority="161">
      <formula>AND(E141=9,P141=7)</formula>
    </cfRule>
    <cfRule type="expression" dxfId="106" priority="162">
      <formula>AND(E141=9,P141=6)</formula>
    </cfRule>
    <cfRule type="expression" dxfId="105" priority="163">
      <formula>AND(E141=9,P141=5)</formula>
    </cfRule>
    <cfRule type="expression" dxfId="104" priority="164">
      <formula>AND(E141=9,P141=4)</formula>
    </cfRule>
    <cfRule type="expression" dxfId="103" priority="165">
      <formula>AND(E141=9,P141=3)</formula>
    </cfRule>
    <cfRule type="expression" dxfId="102" priority="166">
      <formula>AND(E141=10,P141=9)</formula>
    </cfRule>
    <cfRule type="expression" dxfId="101" priority="167">
      <formula>AND(P141=8,E141=10)</formula>
    </cfRule>
    <cfRule type="expression" dxfId="100" priority="168">
      <formula>AND(P141=7,E141=10)</formula>
    </cfRule>
    <cfRule type="expression" dxfId="99" priority="169">
      <formula>AND(P141=6,E141=10)</formula>
    </cfRule>
    <cfRule type="expression" dxfId="98" priority="170">
      <formula>AND(P141=5,E141=10)</formula>
    </cfRule>
    <cfRule type="expression" dxfId="97" priority="171">
      <formula>AND(P141=3,E141=10)</formula>
    </cfRule>
    <cfRule type="expression" dxfId="96" priority="172">
      <formula>AND(P141=4,E141=10)</formula>
    </cfRule>
    <cfRule type="expression" dxfId="95" priority="173">
      <formula>AND(P141=2,E141=10)</formula>
    </cfRule>
    <cfRule type="expression" dxfId="94" priority="174">
      <formula>AND(P141=2,E141=9)</formula>
    </cfRule>
    <cfRule type="expression" dxfId="93" priority="175">
      <formula>AND(P141=10,E141=10)</formula>
    </cfRule>
    <cfRule type="expression" dxfId="92" priority="176">
      <formula>AND(P141=9, E141=9)</formula>
    </cfRule>
  </conditionalFormatting>
  <conditionalFormatting sqref="P141">
    <cfRule type="expression" dxfId="91" priority="180">
      <formula>AND(E141=9,P141=8)</formula>
    </cfRule>
    <cfRule type="expression" dxfId="90" priority="181">
      <formula>AND(E141=9,P141=7)</formula>
    </cfRule>
    <cfRule type="expression" dxfId="89" priority="182">
      <formula>AND(E141=9,P141=6)</formula>
    </cfRule>
    <cfRule type="expression" dxfId="88" priority="183">
      <formula>AND(E141=9,P141=5)</formula>
    </cfRule>
    <cfRule type="expression" dxfId="87" priority="184">
      <formula>AND(E141=9,P141=4)</formula>
    </cfRule>
    <cfRule type="expression" dxfId="86" priority="185">
      <formula>AND(E141=9,P141=3)</formula>
    </cfRule>
    <cfRule type="expression" dxfId="85" priority="186">
      <formula>AND(E141=10,P141=9)</formula>
    </cfRule>
    <cfRule type="expression" dxfId="84" priority="187">
      <formula>AND(P141=8,E141=10)</formula>
    </cfRule>
    <cfRule type="expression" dxfId="83" priority="188">
      <formula>AND(P141=7,E141=10)</formula>
    </cfRule>
    <cfRule type="expression" dxfId="82" priority="189">
      <formula>AND(P141=6,E141=10)</formula>
    </cfRule>
    <cfRule type="expression" dxfId="81" priority="190">
      <formula>AND(P141=5,E141=10)</formula>
    </cfRule>
    <cfRule type="expression" dxfId="80" priority="191">
      <formula>AND(P141=3,E141=10)</formula>
    </cfRule>
    <cfRule type="expression" dxfId="79" priority="192">
      <formula>AND(P141=4,E141=10)</formula>
    </cfRule>
    <cfRule type="expression" dxfId="78" priority="193">
      <formula>AND(P141=2,E141=10)</formula>
    </cfRule>
    <cfRule type="expression" dxfId="77" priority="194">
      <formula>AND(P141=2,E141=9)</formula>
    </cfRule>
    <cfRule type="expression" dxfId="76" priority="195">
      <formula>AND(P141=10,E141=10)</formula>
    </cfRule>
    <cfRule type="expression" dxfId="75" priority="196">
      <formula>AND(P141=9, E141=9)</formula>
    </cfRule>
  </conditionalFormatting>
  <conditionalFormatting sqref="P142:P144">
    <cfRule type="expression" dxfId="74" priority="139">
      <formula>AND(E142=9,P142=8)</formula>
    </cfRule>
    <cfRule type="expression" dxfId="73" priority="140">
      <formula>AND(E142=9,P142=7)</formula>
    </cfRule>
    <cfRule type="expression" dxfId="72" priority="141">
      <formula>AND(E142=9,P142=6)</formula>
    </cfRule>
    <cfRule type="expression" dxfId="71" priority="142">
      <formula>AND(E142=9,P142=5)</formula>
    </cfRule>
    <cfRule type="expression" dxfId="70" priority="143">
      <formula>AND(E142=9,P142=4)</formula>
    </cfRule>
    <cfRule type="expression" dxfId="69" priority="144">
      <formula>AND(E142=9,P142=3)</formula>
    </cfRule>
    <cfRule type="expression" dxfId="68" priority="145">
      <formula>AND(E142=10,P142=9)</formula>
    </cfRule>
    <cfRule type="expression" dxfId="67" priority="146">
      <formula>AND(P142=8,E142=10)</formula>
    </cfRule>
    <cfRule type="expression" dxfId="66" priority="147">
      <formula>AND(P142=7,E142=10)</formula>
    </cfRule>
    <cfRule type="expression" dxfId="65" priority="148">
      <formula>AND(P142=6,E142=10)</formula>
    </cfRule>
    <cfRule type="expression" dxfId="64" priority="149">
      <formula>AND(P142=5,E142=10)</formula>
    </cfRule>
    <cfRule type="expression" dxfId="63" priority="150">
      <formula>AND(P142=3,E142=10)</formula>
    </cfRule>
    <cfRule type="expression" dxfId="62" priority="151">
      <formula>AND(P142=4,E142=10)</formula>
    </cfRule>
    <cfRule type="expression" dxfId="61" priority="152">
      <formula>AND(P142=2,E142=10)</formula>
    </cfRule>
    <cfRule type="expression" dxfId="60" priority="153">
      <formula>AND(P142=2,E142=9)</formula>
    </cfRule>
    <cfRule type="expression" dxfId="59" priority="154">
      <formula>AND(P142=10,E142=10)</formula>
    </cfRule>
    <cfRule type="expression" dxfId="58" priority="155">
      <formula>AND(P142=9, E142=9)</formula>
    </cfRule>
  </conditionalFormatting>
  <conditionalFormatting sqref="C143">
    <cfRule type="containsText" dxfId="57" priority="129" operator="containsText" text="L">
      <formula>NOT(ISERROR(SEARCH("L",C143)))</formula>
    </cfRule>
    <cfRule type="containsText" dxfId="56" priority="130" operator="containsText" text="W">
      <formula>NOT(ISERROR(SEARCH("W",C143)))</formula>
    </cfRule>
  </conditionalFormatting>
  <conditionalFormatting sqref="C144">
    <cfRule type="containsText" dxfId="55" priority="122" operator="containsText" text="L">
      <formula>NOT(ISERROR(SEARCH("L",C144)))</formula>
    </cfRule>
    <cfRule type="containsText" dxfId="54" priority="123" operator="containsText" text="W">
      <formula>NOT(ISERROR(SEARCH("W",C144)))</formula>
    </cfRule>
  </conditionalFormatting>
  <conditionalFormatting sqref="C146">
    <cfRule type="containsText" dxfId="53" priority="78" operator="containsText" text="L">
      <formula>NOT(ISERROR(SEARCH("L",C146)))</formula>
    </cfRule>
    <cfRule type="containsText" dxfId="52" priority="79" operator="containsText" text="W">
      <formula>NOT(ISERROR(SEARCH("W",C146)))</formula>
    </cfRule>
  </conditionalFormatting>
  <conditionalFormatting sqref="C147">
    <cfRule type="containsText" dxfId="51" priority="76" operator="containsText" text="L">
      <formula>NOT(ISERROR(SEARCH("L",C147)))</formula>
    </cfRule>
    <cfRule type="containsText" dxfId="50" priority="77" operator="containsText" text="W">
      <formula>NOT(ISERROR(SEARCH("W",C147)))</formula>
    </cfRule>
  </conditionalFormatting>
  <conditionalFormatting sqref="P147:P149">
    <cfRule type="expression" dxfId="49" priority="59">
      <formula>AND(E147=9,P147=8)</formula>
    </cfRule>
    <cfRule type="expression" dxfId="48" priority="60">
      <formula>AND(E147=9,P147=7)</formula>
    </cfRule>
    <cfRule type="expression" dxfId="47" priority="61">
      <formula>AND(E147=9,P147=6)</formula>
    </cfRule>
    <cfRule type="expression" dxfId="46" priority="62">
      <formula>AND(E147=9,P147=5)</formula>
    </cfRule>
    <cfRule type="expression" dxfId="45" priority="63">
      <formula>AND(E147=9,P147=4)</formula>
    </cfRule>
    <cfRule type="expression" dxfId="44" priority="64">
      <formula>AND(E147=9,P147=3)</formula>
    </cfRule>
    <cfRule type="expression" dxfId="43" priority="65">
      <formula>AND(E147=10,P147=9)</formula>
    </cfRule>
    <cfRule type="expression" dxfId="42" priority="66">
      <formula>AND(P147=8,E147=10)</formula>
    </cfRule>
    <cfRule type="expression" dxfId="41" priority="67">
      <formula>AND(P147=7,E147=10)</formula>
    </cfRule>
    <cfRule type="expression" dxfId="40" priority="68">
      <formula>AND(P147=6,E147=10)</formula>
    </cfRule>
    <cfRule type="expression" dxfId="39" priority="69">
      <formula>AND(P147=5,E147=10)</formula>
    </cfRule>
    <cfRule type="expression" dxfId="38" priority="70">
      <formula>AND(P147=3,E147=10)</formula>
    </cfRule>
    <cfRule type="expression" dxfId="37" priority="71">
      <formula>AND(P147=4,E147=10)</formula>
    </cfRule>
    <cfRule type="expression" dxfId="36" priority="72">
      <formula>AND(P147=2,E147=10)</formula>
    </cfRule>
    <cfRule type="expression" dxfId="35" priority="73">
      <formula>AND(P147=2,E147=9)</formula>
    </cfRule>
    <cfRule type="expression" dxfId="34" priority="74">
      <formula>AND(P147=10,E147=10)</formula>
    </cfRule>
    <cfRule type="expression" dxfId="33" priority="75">
      <formula>AND(P147=9, E147=9)</formula>
    </cfRule>
  </conditionalFormatting>
  <conditionalFormatting sqref="D148">
    <cfRule type="containsText" dxfId="32" priority="41" operator="containsText" text="Polus">
      <formula>NOT(ISERROR(SEARCH("Polus",D148)))</formula>
    </cfRule>
    <cfRule type="containsText" dxfId="31" priority="42" operator="containsText" text="Mira">
      <formula>NOT(ISERROR(SEARCH("Mira",D148)))</formula>
    </cfRule>
    <cfRule type="containsText" dxfId="30" priority="43" operator="containsText" text="skeld">
      <formula>NOT(ISERROR(SEARCH("skeld",D148)))</formula>
    </cfRule>
  </conditionalFormatting>
  <conditionalFormatting sqref="D147">
    <cfRule type="containsText" dxfId="29" priority="51" operator="containsText" text="Polus">
      <formula>NOT(ISERROR(SEARCH("Polus",D147)))</formula>
    </cfRule>
    <cfRule type="containsText" dxfId="28" priority="52" operator="containsText" text="Mira">
      <formula>NOT(ISERROR(SEARCH("Mira",D147)))</formula>
    </cfRule>
    <cfRule type="containsText" dxfId="27" priority="53" operator="containsText" text="skeld">
      <formula>NOT(ISERROR(SEARCH("skeld",D147)))</formula>
    </cfRule>
  </conditionalFormatting>
  <conditionalFormatting sqref="C148">
    <cfRule type="containsText" dxfId="26" priority="44" operator="containsText" text="L">
      <formula>NOT(ISERROR(SEARCH("L",C148)))</formula>
    </cfRule>
    <cfRule type="containsText" dxfId="25" priority="45" operator="containsText" text="W">
      <formula>NOT(ISERROR(SEARCH("W",C148)))</formula>
    </cfRule>
  </conditionalFormatting>
  <conditionalFormatting sqref="C149">
    <cfRule type="containsText" dxfId="24" priority="39" operator="containsText" text="L">
      <formula>NOT(ISERROR(SEARCH("L",C149)))</formula>
    </cfRule>
    <cfRule type="containsText" dxfId="23" priority="40" operator="containsText" text="W">
      <formula>NOT(ISERROR(SEARCH("W",C149)))</formula>
    </cfRule>
  </conditionalFormatting>
  <conditionalFormatting sqref="D149">
    <cfRule type="containsText" dxfId="22" priority="36" operator="containsText" text="Polus">
      <formula>NOT(ISERROR(SEARCH("Polus",D149)))</formula>
    </cfRule>
    <cfRule type="containsText" dxfId="21" priority="37" operator="containsText" text="Mira">
      <formula>NOT(ISERROR(SEARCH("Mira",D149)))</formula>
    </cfRule>
    <cfRule type="containsText" dxfId="20" priority="38" operator="containsText" text="skeld">
      <formula>NOT(ISERROR(SEARCH("skeld",D149)))</formula>
    </cfRule>
  </conditionalFormatting>
  <conditionalFormatting sqref="C141">
    <cfRule type="containsText" dxfId="19" priority="32" operator="containsText" text="L">
      <formula>NOT(ISERROR(SEARCH("L",C141)))</formula>
    </cfRule>
    <cfRule type="containsText" dxfId="18" priority="33" operator="containsText" text="W">
      <formula>NOT(ISERROR(SEARCH("W",C141)))</formula>
    </cfRule>
  </conditionalFormatting>
  <conditionalFormatting sqref="D141">
    <cfRule type="containsText" dxfId="17" priority="29" operator="containsText" text="Polus">
      <formula>NOT(ISERROR(SEARCH("Polus",D141)))</formula>
    </cfRule>
    <cfRule type="containsText" dxfId="16" priority="30" operator="containsText" text="Mira">
      <formula>NOT(ISERROR(SEARCH("Mira",D141)))</formula>
    </cfRule>
    <cfRule type="containsText" dxfId="15" priority="31" operator="containsText" text="skeld">
      <formula>NOT(ISERROR(SEARCH("skeld",D141)))</formula>
    </cfRule>
  </conditionalFormatting>
  <conditionalFormatting sqref="C142:C146">
    <cfRule type="containsText" dxfId="14" priority="25" operator="containsText" text="L">
      <formula>NOT(ISERROR(SEARCH("L",C142)))</formula>
    </cfRule>
    <cfRule type="containsText" dxfId="13" priority="26" operator="containsText" text="W">
      <formula>NOT(ISERROR(SEARCH("W",C142)))</formula>
    </cfRule>
  </conditionalFormatting>
  <conditionalFormatting sqref="D142">
    <cfRule type="containsText" dxfId="12" priority="22" operator="containsText" text="Polus">
      <formula>NOT(ISERROR(SEARCH("Polus",D142)))</formula>
    </cfRule>
    <cfRule type="containsText" dxfId="11" priority="23" operator="containsText" text="Mira">
      <formula>NOT(ISERROR(SEARCH("Mira",D142)))</formula>
    </cfRule>
    <cfRule type="containsText" dxfId="10" priority="24" operator="containsText" text="skeld">
      <formula>NOT(ISERROR(SEARCH("skeld",D142)))</formula>
    </cfRule>
  </conditionalFormatting>
  <conditionalFormatting sqref="D145">
    <cfRule type="containsText" dxfId="9" priority="10" operator="containsText" text="Polus">
      <formula>NOT(ISERROR(SEARCH("Polus",D145)))</formula>
    </cfRule>
    <cfRule type="containsText" dxfId="8" priority="11" operator="containsText" text="Mira">
      <formula>NOT(ISERROR(SEARCH("Mira",D145)))</formula>
    </cfRule>
    <cfRule type="containsText" dxfId="7" priority="12" operator="containsText" text="skeld">
      <formula>NOT(ISERROR(SEARCH("skeld",D145)))</formula>
    </cfRule>
  </conditionalFormatting>
  <conditionalFormatting sqref="C145">
    <cfRule type="containsText" dxfId="6" priority="6" operator="containsText" text="L">
      <formula>NOT(ISERROR(SEARCH("L",C145)))</formula>
    </cfRule>
    <cfRule type="containsText" dxfId="5" priority="7" operator="containsText" text="W">
      <formula>NOT(ISERROR(SEARCH("W",C145)))</formula>
    </cfRule>
  </conditionalFormatting>
  <conditionalFormatting sqref="D146">
    <cfRule type="containsText" dxfId="4" priority="3" operator="containsText" text="Polus">
      <formula>NOT(ISERROR(SEARCH("Polus",D146)))</formula>
    </cfRule>
    <cfRule type="containsText" dxfId="3" priority="4" operator="containsText" text="Mira">
      <formula>NOT(ISERROR(SEARCH("Mira",D146)))</formula>
    </cfRule>
    <cfRule type="containsText" dxfId="2" priority="5" operator="containsText" text="skeld">
      <formula>NOT(ISERROR(SEARCH("skeld",D146)))</formula>
    </cfRule>
  </conditionalFormatting>
  <conditionalFormatting sqref="C1:C1048576">
    <cfRule type="containsText" dxfId="1" priority="1" operator="containsText" text="Imp">
      <formula>NOT(ISERROR(SEARCH("Imp",C1)))</formula>
    </cfRule>
    <cfRule type="containsText" dxfId="0" priority="2" operator="containsText" text="Crew">
      <formula>NOT(ISERROR(SEARCH("Crew",C1)))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oubleCheck">
                <anchor moveWithCells="1" sizeWithCells="1">
                  <from>
                    <xdr:col>20</xdr:col>
                    <xdr:colOff>361950</xdr:colOff>
                    <xdr:row>22</xdr:row>
                    <xdr:rowOff>85725</xdr:rowOff>
                  </from>
                  <to>
                    <xdr:col>21</xdr:col>
                    <xdr:colOff>542925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FDE-1C78-4AE2-A21B-AEAF5957A25A}">
  <sheetPr codeName="Sheet3"/>
  <dimension ref="A1:AS75"/>
  <sheetViews>
    <sheetView showGridLines="0" zoomScale="70" zoomScaleNormal="70" workbookViewId="0">
      <pane xSplit="1" ySplit="2" topLeftCell="B3" activePane="bottomRight" state="frozen"/>
      <selection activeCell="G29" sqref="G29"/>
      <selection pane="topRight" activeCell="G29" sqref="G29"/>
      <selection pane="bottomLeft" activeCell="G29" sqref="G29"/>
      <selection pane="bottomRight" activeCell="K17" sqref="K17"/>
    </sheetView>
  </sheetViews>
  <sheetFormatPr defaultRowHeight="15" x14ac:dyDescent="0.25"/>
  <cols>
    <col min="1" max="1" width="12.42578125" style="269" bestFit="1" customWidth="1"/>
    <col min="2" max="2" width="12" style="269" customWidth="1"/>
    <col min="3" max="3" width="10.42578125" style="269" customWidth="1"/>
    <col min="4" max="4" width="9.42578125" style="272" customWidth="1"/>
    <col min="5" max="5" width="16.85546875" style="271" customWidth="1"/>
    <col min="6" max="6" width="12.28515625" style="263" customWidth="1"/>
    <col min="7" max="7" width="16" style="271" customWidth="1"/>
    <col min="8" max="8" width="15.5703125" style="270" customWidth="1"/>
    <col min="9" max="9" width="16" style="271" customWidth="1"/>
    <col min="10" max="10" width="11.42578125" style="263" customWidth="1"/>
    <col min="11" max="11" width="14.42578125" style="271" customWidth="1"/>
    <col min="12" max="12" width="14.5703125" style="270" customWidth="1"/>
    <col min="13" max="13" width="12" style="271" customWidth="1"/>
    <col min="14" max="14" width="10.42578125" style="271" customWidth="1"/>
    <col min="15" max="15" width="9.42578125" style="271" customWidth="1"/>
    <col min="16" max="16" width="16.85546875" style="271" customWidth="1"/>
    <col min="17" max="17" width="12.28515625" style="264" customWidth="1"/>
    <col min="18" max="18" width="15.28515625" style="271" customWidth="1"/>
    <col min="19" max="19" width="15.5703125" style="271" customWidth="1"/>
    <col min="20" max="20" width="16" style="271" customWidth="1"/>
    <col min="21" max="21" width="11.42578125" style="264" customWidth="1"/>
    <col min="22" max="22" width="14.42578125" style="271" customWidth="1"/>
    <col min="23" max="23" width="14.5703125" style="271" customWidth="1"/>
    <col min="24" max="24" width="12" style="271" customWidth="1"/>
    <col min="25" max="25" width="10.42578125" style="271" customWidth="1"/>
    <col min="26" max="26" width="9.42578125" style="271" customWidth="1"/>
    <col min="27" max="27" width="16.85546875" style="271" customWidth="1"/>
    <col min="28" max="28" width="12.28515625" style="265" customWidth="1"/>
    <col min="29" max="29" width="15.28515625" style="271" customWidth="1"/>
    <col min="30" max="30" width="15.5703125" style="271" customWidth="1"/>
    <col min="31" max="31" width="16" style="271" customWidth="1"/>
    <col min="32" max="32" width="11.42578125" style="265" customWidth="1"/>
    <col min="33" max="33" width="14.42578125" style="271" customWidth="1"/>
    <col min="34" max="34" width="14.5703125" style="271" customWidth="1"/>
    <col min="35" max="35" width="12" style="271" customWidth="1"/>
    <col min="36" max="36" width="10.42578125" style="271" customWidth="1"/>
    <col min="37" max="37" width="9.42578125" style="271" customWidth="1"/>
    <col min="38" max="38" width="16.85546875" style="271" customWidth="1"/>
    <col min="39" max="39" width="12.28515625" style="266" customWidth="1"/>
    <col min="40" max="40" width="15.28515625" style="271" customWidth="1"/>
    <col min="41" max="41" width="15.5703125" style="271" customWidth="1"/>
    <col min="42" max="42" width="16" style="271" customWidth="1"/>
    <col min="43" max="43" width="11.42578125" style="266" customWidth="1"/>
    <col min="44" max="44" width="14.42578125" style="271" customWidth="1"/>
    <col min="45" max="45" width="14.5703125" style="271" customWidth="1"/>
    <col min="46" max="16384" width="9.140625" style="271"/>
  </cols>
  <sheetData>
    <row r="1" spans="1:45" s="273" customFormat="1" x14ac:dyDescent="0.25">
      <c r="A1" s="274"/>
      <c r="B1" s="371" t="s">
        <v>42</v>
      </c>
      <c r="C1" s="372"/>
      <c r="D1" s="372"/>
      <c r="E1" s="372"/>
      <c r="F1" s="372"/>
      <c r="G1" s="372"/>
      <c r="H1" s="372"/>
      <c r="I1" s="372"/>
      <c r="J1" s="372"/>
      <c r="K1" s="372"/>
      <c r="L1" s="373"/>
      <c r="M1" s="363" t="s">
        <v>22</v>
      </c>
      <c r="N1" s="364"/>
      <c r="O1" s="364"/>
      <c r="P1" s="364"/>
      <c r="Q1" s="364"/>
      <c r="R1" s="364"/>
      <c r="S1" s="364"/>
      <c r="T1" s="364"/>
      <c r="U1" s="364"/>
      <c r="V1" s="364"/>
      <c r="W1" s="365"/>
      <c r="X1" s="366" t="s">
        <v>19</v>
      </c>
      <c r="Y1" s="367"/>
      <c r="Z1" s="367"/>
      <c r="AA1" s="367"/>
      <c r="AB1" s="367"/>
      <c r="AC1" s="367"/>
      <c r="AD1" s="367"/>
      <c r="AE1" s="367"/>
      <c r="AF1" s="367"/>
      <c r="AG1" s="367"/>
      <c r="AH1" s="367"/>
      <c r="AI1" s="368" t="s">
        <v>24</v>
      </c>
      <c r="AJ1" s="369"/>
      <c r="AK1" s="369"/>
      <c r="AL1" s="369"/>
      <c r="AM1" s="369"/>
      <c r="AN1" s="369"/>
      <c r="AO1" s="369"/>
      <c r="AP1" s="369"/>
      <c r="AQ1" s="369"/>
      <c r="AR1" s="369"/>
      <c r="AS1" s="370"/>
    </row>
    <row r="2" spans="1:45" s="273" customFormat="1" x14ac:dyDescent="0.25">
      <c r="A2" s="296" t="s">
        <v>0</v>
      </c>
      <c r="B2" s="209" t="s">
        <v>29</v>
      </c>
      <c r="C2" s="152" t="s">
        <v>30</v>
      </c>
      <c r="D2" s="153" t="s">
        <v>59</v>
      </c>
      <c r="E2" s="152" t="s">
        <v>58</v>
      </c>
      <c r="F2" s="153" t="s">
        <v>57</v>
      </c>
      <c r="G2" s="152" t="s">
        <v>61</v>
      </c>
      <c r="H2" s="153" t="s">
        <v>64</v>
      </c>
      <c r="I2" s="152" t="s">
        <v>62</v>
      </c>
      <c r="J2" s="152" t="s">
        <v>60</v>
      </c>
      <c r="K2" s="152" t="s">
        <v>63</v>
      </c>
      <c r="L2" s="154" t="s">
        <v>65</v>
      </c>
      <c r="M2" s="239" t="s">
        <v>29</v>
      </c>
      <c r="N2" s="155" t="s">
        <v>30</v>
      </c>
      <c r="O2" s="156" t="s">
        <v>59</v>
      </c>
      <c r="P2" s="155" t="s">
        <v>58</v>
      </c>
      <c r="Q2" s="156" t="s">
        <v>57</v>
      </c>
      <c r="R2" s="155" t="s">
        <v>61</v>
      </c>
      <c r="S2" s="156" t="s">
        <v>64</v>
      </c>
      <c r="T2" s="155" t="s">
        <v>62</v>
      </c>
      <c r="U2" s="155" t="s">
        <v>60</v>
      </c>
      <c r="V2" s="155" t="s">
        <v>63</v>
      </c>
      <c r="W2" s="240" t="s">
        <v>65</v>
      </c>
      <c r="X2" s="157" t="s">
        <v>29</v>
      </c>
      <c r="Y2" s="158" t="s">
        <v>30</v>
      </c>
      <c r="Z2" s="159" t="s">
        <v>59</v>
      </c>
      <c r="AA2" s="158" t="s">
        <v>58</v>
      </c>
      <c r="AB2" s="159" t="s">
        <v>57</v>
      </c>
      <c r="AC2" s="158" t="s">
        <v>61</v>
      </c>
      <c r="AD2" s="159" t="s">
        <v>64</v>
      </c>
      <c r="AE2" s="158" t="s">
        <v>62</v>
      </c>
      <c r="AF2" s="158" t="s">
        <v>60</v>
      </c>
      <c r="AG2" s="158" t="s">
        <v>63</v>
      </c>
      <c r="AH2" s="159" t="s">
        <v>65</v>
      </c>
      <c r="AI2" s="160" t="s">
        <v>29</v>
      </c>
      <c r="AJ2" s="161" t="s">
        <v>30</v>
      </c>
      <c r="AK2" s="162" t="s">
        <v>59</v>
      </c>
      <c r="AL2" s="161" t="s">
        <v>58</v>
      </c>
      <c r="AM2" s="162" t="s">
        <v>57</v>
      </c>
      <c r="AN2" s="161" t="s">
        <v>61</v>
      </c>
      <c r="AO2" s="162" t="s">
        <v>64</v>
      </c>
      <c r="AP2" s="161" t="s">
        <v>62</v>
      </c>
      <c r="AQ2" s="161" t="s">
        <v>60</v>
      </c>
      <c r="AR2" s="161" t="s">
        <v>63</v>
      </c>
      <c r="AS2" s="275" t="s">
        <v>65</v>
      </c>
    </row>
    <row r="3" spans="1:45" s="262" customFormat="1" x14ac:dyDescent="0.25">
      <c r="A3" s="202" t="s">
        <v>41</v>
      </c>
      <c r="B3" s="203">
        <f t="shared" ref="B3:B20" si="0">E3+I3</f>
        <v>116</v>
      </c>
      <c r="C3" s="204">
        <f t="shared" ref="C3:C20" si="1">SUM(N3,Y3,AJ3)</f>
        <v>74</v>
      </c>
      <c r="D3" s="205">
        <f t="shared" ref="D3:D20" si="2">C3/B3</f>
        <v>0.63793103448275867</v>
      </c>
      <c r="E3" s="204">
        <f t="shared" ref="E3:E20" si="3">SUM(P3,AA3,AL3)</f>
        <v>87</v>
      </c>
      <c r="F3" s="206">
        <f t="shared" ref="F3:F20" si="4">E3/B3</f>
        <v>0.75</v>
      </c>
      <c r="G3" s="204">
        <f t="shared" ref="G3:G20" si="5">SUM(R3,AC3,AN3)</f>
        <v>62</v>
      </c>
      <c r="H3" s="205" cm="1">
        <f t="array" ref="H3">IFERROR(G3/E3,e)</f>
        <v>0.71264367816091956</v>
      </c>
      <c r="I3" s="204">
        <f t="shared" ref="I3:I20" si="6">SUM(T3,AE3,AP3)</f>
        <v>29</v>
      </c>
      <c r="J3" s="206">
        <f t="shared" ref="J3:J20" si="7">I3/B3</f>
        <v>0.25</v>
      </c>
      <c r="K3" s="204">
        <f t="shared" ref="K3:K20" si="8">SUM(V3,AG3,AR3)</f>
        <v>12</v>
      </c>
      <c r="L3" s="207" cm="1">
        <f t="array" ref="L3">IFERROR(K3/I3,e)</f>
        <v>0.41379310344827586</v>
      </c>
      <c r="M3" s="241">
        <f t="shared" ref="M3:M20" si="9">P3+T3</f>
        <v>92</v>
      </c>
      <c r="N3" s="208">
        <f t="shared" ref="N3:N20" si="10">IF(M3=0,"",R3+V3)</f>
        <v>58</v>
      </c>
      <c r="O3" s="345">
        <f t="shared" ref="O3:O20" si="11">N3/M3</f>
        <v>0.63043478260869568</v>
      </c>
      <c r="P3" s="208">
        <v>69</v>
      </c>
      <c r="Q3" s="210">
        <f t="shared" ref="Q3:Q20" si="12">IF(M3=0,"",P3/M3)</f>
        <v>0.75</v>
      </c>
      <c r="R3" s="208">
        <v>49</v>
      </c>
      <c r="S3" s="205">
        <f t="shared" ref="S3:S20" si="13">R3/P3</f>
        <v>0.71014492753623193</v>
      </c>
      <c r="T3" s="127">
        <v>23</v>
      </c>
      <c r="U3" s="137">
        <f t="shared" ref="U3:U20" si="14">IF(M3=0,"",T3/M3)</f>
        <v>0.25</v>
      </c>
      <c r="V3" s="127">
        <v>9</v>
      </c>
      <c r="W3" s="115">
        <f t="shared" ref="W3:W20" si="15">V3/T3</f>
        <v>0.39130434782608697</v>
      </c>
      <c r="X3" s="125">
        <f t="shared" ref="X3:X20" si="16">AA3+AE3</f>
        <v>13</v>
      </c>
      <c r="Y3" s="126">
        <f t="shared" ref="Y3:Y20" si="17">IF(X3=0,"",AC3+AG3)</f>
        <v>10</v>
      </c>
      <c r="Z3" s="114">
        <f t="shared" ref="Z3:Z20" si="18">Y3/X3</f>
        <v>0.76923076923076927</v>
      </c>
      <c r="AA3" s="126">
        <v>10</v>
      </c>
      <c r="AB3" s="138">
        <f t="shared" ref="AB3:AB20" si="19">IF(X3=0,"",AA3/X3)</f>
        <v>0.76923076923076927</v>
      </c>
      <c r="AC3" s="126">
        <v>8</v>
      </c>
      <c r="AD3" s="114">
        <f t="shared" ref="AD3:AD20" si="20">AC3/AA3</f>
        <v>0.8</v>
      </c>
      <c r="AE3" s="126">
        <v>3</v>
      </c>
      <c r="AF3" s="138">
        <f t="shared" ref="AF3:AF20" si="21">IF(X3=0,"",AE3/X3)</f>
        <v>0.23076923076923078</v>
      </c>
      <c r="AG3" s="126">
        <v>2</v>
      </c>
      <c r="AH3" s="114">
        <f t="shared" ref="AH3:AH20" si="22">AG3/AE3</f>
        <v>0.66666666666666663</v>
      </c>
      <c r="AI3" s="123">
        <f t="shared" ref="AI3:AI20" si="23">AL3+AP3</f>
        <v>11</v>
      </c>
      <c r="AJ3" s="124">
        <f t="shared" ref="AJ3:AJ20" si="24">IF(AI3=0,"",AN3+AR3)</f>
        <v>6</v>
      </c>
      <c r="AK3" s="114">
        <f t="shared" ref="AK3:AK20" si="25">AJ3/AI3</f>
        <v>0.54545454545454541</v>
      </c>
      <c r="AL3" s="124">
        <v>8</v>
      </c>
      <c r="AM3" s="139">
        <f t="shared" ref="AM3:AM20" si="26">IF(AI3=0,"",AL3/AI3)</f>
        <v>0.72727272727272729</v>
      </c>
      <c r="AN3" s="124">
        <v>5</v>
      </c>
      <c r="AO3" s="114">
        <f t="shared" ref="AO3:AO20" si="27">AN3/AL3</f>
        <v>0.625</v>
      </c>
      <c r="AP3" s="124">
        <v>3</v>
      </c>
      <c r="AQ3" s="139">
        <f t="shared" ref="AQ3:AQ20" si="28">IF(AI3=0,"",AP3/AI3)</f>
        <v>0.27272727272727271</v>
      </c>
      <c r="AR3" s="124">
        <v>1</v>
      </c>
      <c r="AS3" s="115">
        <f t="shared" ref="AS3:AS20" si="29">AR3/AP3</f>
        <v>0.33333333333333331</v>
      </c>
    </row>
    <row r="4" spans="1:45" s="262" customFormat="1" x14ac:dyDescent="0.25">
      <c r="A4" s="202" t="s">
        <v>66</v>
      </c>
      <c r="B4" s="203">
        <f t="shared" si="0"/>
        <v>95</v>
      </c>
      <c r="C4" s="204">
        <f t="shared" si="1"/>
        <v>50</v>
      </c>
      <c r="D4" s="205">
        <f t="shared" si="2"/>
        <v>0.52631578947368418</v>
      </c>
      <c r="E4" s="204">
        <f t="shared" si="3"/>
        <v>71</v>
      </c>
      <c r="F4" s="206">
        <f t="shared" si="4"/>
        <v>0.74736842105263157</v>
      </c>
      <c r="G4" s="204">
        <f t="shared" si="5"/>
        <v>48</v>
      </c>
      <c r="H4" s="205" cm="1">
        <f t="array" ref="H4">IFERROR(G4/E4,e)</f>
        <v>0.676056338028169</v>
      </c>
      <c r="I4" s="204">
        <f t="shared" si="6"/>
        <v>24</v>
      </c>
      <c r="J4" s="206">
        <f t="shared" si="7"/>
        <v>0.25263157894736843</v>
      </c>
      <c r="K4" s="204">
        <f t="shared" si="8"/>
        <v>2</v>
      </c>
      <c r="L4" s="207" cm="1">
        <f t="array" ref="L4">IFERROR(K4/I4,e)</f>
        <v>8.3333333333333329E-2</v>
      </c>
      <c r="M4" s="241">
        <f t="shared" si="9"/>
        <v>54</v>
      </c>
      <c r="N4" s="208">
        <f t="shared" si="10"/>
        <v>25</v>
      </c>
      <c r="O4" s="205">
        <f t="shared" si="11"/>
        <v>0.46296296296296297</v>
      </c>
      <c r="P4" s="208">
        <v>37</v>
      </c>
      <c r="Q4" s="210">
        <f t="shared" si="12"/>
        <v>0.68518518518518523</v>
      </c>
      <c r="R4" s="208">
        <v>23</v>
      </c>
      <c r="S4" s="205">
        <f t="shared" si="13"/>
        <v>0.6216216216216216</v>
      </c>
      <c r="T4" s="127">
        <v>17</v>
      </c>
      <c r="U4" s="137">
        <f t="shared" si="14"/>
        <v>0.31481481481481483</v>
      </c>
      <c r="V4" s="127">
        <v>2</v>
      </c>
      <c r="W4" s="115">
        <f t="shared" si="15"/>
        <v>0.11764705882352941</v>
      </c>
      <c r="X4" s="125">
        <f t="shared" si="16"/>
        <v>25</v>
      </c>
      <c r="Y4" s="126">
        <f t="shared" si="17"/>
        <v>16</v>
      </c>
      <c r="Z4" s="114">
        <f t="shared" si="18"/>
        <v>0.64</v>
      </c>
      <c r="AA4" s="126">
        <v>20</v>
      </c>
      <c r="AB4" s="138">
        <f t="shared" si="19"/>
        <v>0.8</v>
      </c>
      <c r="AC4" s="126">
        <v>16</v>
      </c>
      <c r="AD4" s="114">
        <f t="shared" si="20"/>
        <v>0.8</v>
      </c>
      <c r="AE4" s="126">
        <v>5</v>
      </c>
      <c r="AF4" s="138">
        <f t="shared" si="21"/>
        <v>0.2</v>
      </c>
      <c r="AG4" s="126"/>
      <c r="AH4" s="114">
        <f t="shared" si="22"/>
        <v>0</v>
      </c>
      <c r="AI4" s="123">
        <f t="shared" si="23"/>
        <v>16</v>
      </c>
      <c r="AJ4" s="124">
        <f t="shared" si="24"/>
        <v>9</v>
      </c>
      <c r="AK4" s="114">
        <f t="shared" si="25"/>
        <v>0.5625</v>
      </c>
      <c r="AL4" s="124">
        <v>14</v>
      </c>
      <c r="AM4" s="139">
        <f t="shared" si="26"/>
        <v>0.875</v>
      </c>
      <c r="AN4" s="124">
        <v>9</v>
      </c>
      <c r="AO4" s="114">
        <f t="shared" si="27"/>
        <v>0.6428571428571429</v>
      </c>
      <c r="AP4" s="124">
        <v>2</v>
      </c>
      <c r="AQ4" s="139">
        <f t="shared" si="28"/>
        <v>0.125</v>
      </c>
      <c r="AR4" s="124"/>
      <c r="AS4" s="115">
        <f t="shared" si="29"/>
        <v>0</v>
      </c>
    </row>
    <row r="5" spans="1:45" s="262" customFormat="1" x14ac:dyDescent="0.25">
      <c r="A5" s="202" t="s">
        <v>8</v>
      </c>
      <c r="B5" s="203">
        <f t="shared" si="0"/>
        <v>66</v>
      </c>
      <c r="C5" s="204">
        <f t="shared" si="1"/>
        <v>42</v>
      </c>
      <c r="D5" s="205">
        <f t="shared" si="2"/>
        <v>0.63636363636363635</v>
      </c>
      <c r="E5" s="204">
        <f t="shared" si="3"/>
        <v>49</v>
      </c>
      <c r="F5" s="206">
        <f t="shared" si="4"/>
        <v>0.74242424242424243</v>
      </c>
      <c r="G5" s="204">
        <f t="shared" si="5"/>
        <v>38</v>
      </c>
      <c r="H5" s="205" cm="1">
        <f t="array" ref="H5">IFERROR(G5/E5,e)</f>
        <v>0.77551020408163263</v>
      </c>
      <c r="I5" s="204">
        <f t="shared" si="6"/>
        <v>17</v>
      </c>
      <c r="J5" s="206">
        <f t="shared" si="7"/>
        <v>0.25757575757575757</v>
      </c>
      <c r="K5" s="204">
        <f t="shared" si="8"/>
        <v>4</v>
      </c>
      <c r="L5" s="207" cm="1">
        <f t="array" ref="L5">IFERROR(K5/I5,e)</f>
        <v>0.23529411764705882</v>
      </c>
      <c r="M5" s="241">
        <f t="shared" si="9"/>
        <v>38</v>
      </c>
      <c r="N5" s="208">
        <f t="shared" si="10"/>
        <v>25</v>
      </c>
      <c r="O5" s="205">
        <f t="shared" si="11"/>
        <v>0.65789473684210531</v>
      </c>
      <c r="P5" s="208">
        <v>30</v>
      </c>
      <c r="Q5" s="210">
        <f t="shared" si="12"/>
        <v>0.78947368421052633</v>
      </c>
      <c r="R5" s="208">
        <v>24</v>
      </c>
      <c r="S5" s="205">
        <f t="shared" si="13"/>
        <v>0.8</v>
      </c>
      <c r="T5" s="127">
        <v>8</v>
      </c>
      <c r="U5" s="137">
        <f t="shared" si="14"/>
        <v>0.21052631578947367</v>
      </c>
      <c r="V5" s="127">
        <v>1</v>
      </c>
      <c r="W5" s="115">
        <f t="shared" si="15"/>
        <v>0.125</v>
      </c>
      <c r="X5" s="125">
        <f t="shared" si="16"/>
        <v>18</v>
      </c>
      <c r="Y5" s="126">
        <f t="shared" si="17"/>
        <v>12</v>
      </c>
      <c r="Z5" s="114">
        <f t="shared" si="18"/>
        <v>0.66666666666666663</v>
      </c>
      <c r="AA5" s="126">
        <v>13</v>
      </c>
      <c r="AB5" s="138">
        <f t="shared" si="19"/>
        <v>0.72222222222222221</v>
      </c>
      <c r="AC5" s="126">
        <v>10</v>
      </c>
      <c r="AD5" s="114">
        <f t="shared" si="20"/>
        <v>0.76923076923076927</v>
      </c>
      <c r="AE5" s="126">
        <v>5</v>
      </c>
      <c r="AF5" s="138">
        <f t="shared" si="21"/>
        <v>0.27777777777777779</v>
      </c>
      <c r="AG5" s="126">
        <v>2</v>
      </c>
      <c r="AH5" s="114">
        <f t="shared" si="22"/>
        <v>0.4</v>
      </c>
      <c r="AI5" s="123">
        <f t="shared" si="23"/>
        <v>10</v>
      </c>
      <c r="AJ5" s="124">
        <f t="shared" si="24"/>
        <v>5</v>
      </c>
      <c r="AK5" s="114">
        <f t="shared" si="25"/>
        <v>0.5</v>
      </c>
      <c r="AL5" s="124">
        <v>6</v>
      </c>
      <c r="AM5" s="139">
        <f t="shared" si="26"/>
        <v>0.6</v>
      </c>
      <c r="AN5" s="124">
        <v>4</v>
      </c>
      <c r="AO5" s="114">
        <f t="shared" si="27"/>
        <v>0.66666666666666663</v>
      </c>
      <c r="AP5" s="124">
        <v>4</v>
      </c>
      <c r="AQ5" s="139">
        <f t="shared" si="28"/>
        <v>0.4</v>
      </c>
      <c r="AR5" s="124">
        <v>1</v>
      </c>
      <c r="AS5" s="115">
        <f t="shared" si="29"/>
        <v>0.25</v>
      </c>
    </row>
    <row r="6" spans="1:45" s="262" customFormat="1" x14ac:dyDescent="0.25">
      <c r="A6" s="202" t="s">
        <v>7</v>
      </c>
      <c r="B6" s="203">
        <f t="shared" si="0"/>
        <v>145</v>
      </c>
      <c r="C6" s="204">
        <f t="shared" si="1"/>
        <v>99</v>
      </c>
      <c r="D6" s="205">
        <f t="shared" si="2"/>
        <v>0.6827586206896552</v>
      </c>
      <c r="E6" s="204">
        <f t="shared" si="3"/>
        <v>115</v>
      </c>
      <c r="F6" s="206">
        <f t="shared" si="4"/>
        <v>0.7931034482758621</v>
      </c>
      <c r="G6" s="204">
        <f t="shared" si="5"/>
        <v>86</v>
      </c>
      <c r="H6" s="205" cm="1">
        <f t="array" ref="H6">IFERROR(G6/E6,e)</f>
        <v>0.74782608695652175</v>
      </c>
      <c r="I6" s="204">
        <f t="shared" si="6"/>
        <v>30</v>
      </c>
      <c r="J6" s="206">
        <f t="shared" si="7"/>
        <v>0.20689655172413793</v>
      </c>
      <c r="K6" s="204">
        <f t="shared" si="8"/>
        <v>13</v>
      </c>
      <c r="L6" s="207" cm="1">
        <f t="array" ref="L6">IFERROR(K6/I6,e)</f>
        <v>0.43333333333333335</v>
      </c>
      <c r="M6" s="241">
        <f t="shared" si="9"/>
        <v>101</v>
      </c>
      <c r="N6" s="208">
        <f t="shared" si="10"/>
        <v>64</v>
      </c>
      <c r="O6" s="205">
        <f t="shared" si="11"/>
        <v>0.63366336633663367</v>
      </c>
      <c r="P6" s="208">
        <v>76</v>
      </c>
      <c r="Q6" s="210">
        <f t="shared" si="12"/>
        <v>0.75247524752475248</v>
      </c>
      <c r="R6" s="208">
        <v>54</v>
      </c>
      <c r="S6" s="205">
        <f t="shared" si="13"/>
        <v>0.71052631578947367</v>
      </c>
      <c r="T6" s="127">
        <v>25</v>
      </c>
      <c r="U6" s="137">
        <f t="shared" si="14"/>
        <v>0.24752475247524752</v>
      </c>
      <c r="V6" s="127">
        <v>10</v>
      </c>
      <c r="W6" s="115">
        <f t="shared" si="15"/>
        <v>0.4</v>
      </c>
      <c r="X6" s="125">
        <f t="shared" si="16"/>
        <v>28</v>
      </c>
      <c r="Y6" s="126">
        <f t="shared" si="17"/>
        <v>22</v>
      </c>
      <c r="Z6" s="114">
        <f t="shared" si="18"/>
        <v>0.7857142857142857</v>
      </c>
      <c r="AA6" s="126">
        <v>25</v>
      </c>
      <c r="AB6" s="138">
        <f t="shared" si="19"/>
        <v>0.8928571428571429</v>
      </c>
      <c r="AC6" s="126">
        <v>21</v>
      </c>
      <c r="AD6" s="114">
        <f t="shared" si="20"/>
        <v>0.84</v>
      </c>
      <c r="AE6" s="126">
        <v>3</v>
      </c>
      <c r="AF6" s="138">
        <f t="shared" si="21"/>
        <v>0.10714285714285714</v>
      </c>
      <c r="AG6" s="126">
        <v>1</v>
      </c>
      <c r="AH6" s="114">
        <f t="shared" si="22"/>
        <v>0.33333333333333331</v>
      </c>
      <c r="AI6" s="123">
        <f t="shared" si="23"/>
        <v>16</v>
      </c>
      <c r="AJ6" s="124">
        <f t="shared" si="24"/>
        <v>13</v>
      </c>
      <c r="AK6" s="114">
        <f t="shared" si="25"/>
        <v>0.8125</v>
      </c>
      <c r="AL6" s="124">
        <v>14</v>
      </c>
      <c r="AM6" s="139">
        <f t="shared" si="26"/>
        <v>0.875</v>
      </c>
      <c r="AN6" s="124">
        <v>11</v>
      </c>
      <c r="AO6" s="114">
        <f t="shared" si="27"/>
        <v>0.7857142857142857</v>
      </c>
      <c r="AP6" s="124">
        <v>2</v>
      </c>
      <c r="AQ6" s="139">
        <f t="shared" si="28"/>
        <v>0.125</v>
      </c>
      <c r="AR6" s="124">
        <v>2</v>
      </c>
      <c r="AS6" s="115">
        <f t="shared" si="29"/>
        <v>1</v>
      </c>
    </row>
    <row r="7" spans="1:45" s="262" customFormat="1" x14ac:dyDescent="0.25">
      <c r="A7" s="202" t="s">
        <v>16</v>
      </c>
      <c r="B7" s="203">
        <f t="shared" si="0"/>
        <v>145</v>
      </c>
      <c r="C7" s="204">
        <f t="shared" si="1"/>
        <v>106</v>
      </c>
      <c r="D7" s="205">
        <f t="shared" si="2"/>
        <v>0.73103448275862071</v>
      </c>
      <c r="E7" s="204">
        <f t="shared" si="3"/>
        <v>116</v>
      </c>
      <c r="F7" s="206">
        <f t="shared" si="4"/>
        <v>0.8</v>
      </c>
      <c r="G7" s="204">
        <f t="shared" si="5"/>
        <v>90</v>
      </c>
      <c r="H7" s="205" cm="1">
        <f t="array" ref="H7">IFERROR(G7/E7,e)</f>
        <v>0.77586206896551724</v>
      </c>
      <c r="I7" s="204">
        <f t="shared" si="6"/>
        <v>29</v>
      </c>
      <c r="J7" s="206">
        <f t="shared" si="7"/>
        <v>0.2</v>
      </c>
      <c r="K7" s="204">
        <f t="shared" si="8"/>
        <v>16</v>
      </c>
      <c r="L7" s="207" cm="1">
        <f t="array" ref="L7">IFERROR(K7/I7,e)</f>
        <v>0.55172413793103448</v>
      </c>
      <c r="M7" s="241">
        <f t="shared" si="9"/>
        <v>101</v>
      </c>
      <c r="N7" s="208">
        <f t="shared" si="10"/>
        <v>71</v>
      </c>
      <c r="O7" s="345">
        <f t="shared" si="11"/>
        <v>0.70297029702970293</v>
      </c>
      <c r="P7" s="208">
        <v>81</v>
      </c>
      <c r="Q7" s="210">
        <f t="shared" si="12"/>
        <v>0.80198019801980203</v>
      </c>
      <c r="R7" s="208">
        <v>60</v>
      </c>
      <c r="S7" s="205">
        <f t="shared" si="13"/>
        <v>0.7407407407407407</v>
      </c>
      <c r="T7" s="127">
        <v>20</v>
      </c>
      <c r="U7" s="137">
        <f t="shared" si="14"/>
        <v>0.19801980198019803</v>
      </c>
      <c r="V7" s="127">
        <v>11</v>
      </c>
      <c r="W7" s="115">
        <f t="shared" si="15"/>
        <v>0.55000000000000004</v>
      </c>
      <c r="X7" s="125">
        <f t="shared" si="16"/>
        <v>28</v>
      </c>
      <c r="Y7" s="126">
        <f t="shared" si="17"/>
        <v>21</v>
      </c>
      <c r="Z7" s="114">
        <f t="shared" si="18"/>
        <v>0.75</v>
      </c>
      <c r="AA7" s="126">
        <v>24</v>
      </c>
      <c r="AB7" s="138">
        <f t="shared" si="19"/>
        <v>0.8571428571428571</v>
      </c>
      <c r="AC7" s="126">
        <v>20</v>
      </c>
      <c r="AD7" s="114">
        <f t="shared" si="20"/>
        <v>0.83333333333333337</v>
      </c>
      <c r="AE7" s="126">
        <v>4</v>
      </c>
      <c r="AF7" s="138">
        <f t="shared" si="21"/>
        <v>0.14285714285714285</v>
      </c>
      <c r="AG7" s="126">
        <v>1</v>
      </c>
      <c r="AH7" s="114">
        <f t="shared" si="22"/>
        <v>0.25</v>
      </c>
      <c r="AI7" s="123">
        <f t="shared" si="23"/>
        <v>16</v>
      </c>
      <c r="AJ7" s="124">
        <f t="shared" si="24"/>
        <v>14</v>
      </c>
      <c r="AK7" s="114">
        <f t="shared" si="25"/>
        <v>0.875</v>
      </c>
      <c r="AL7" s="124">
        <v>11</v>
      </c>
      <c r="AM7" s="139">
        <f t="shared" si="26"/>
        <v>0.6875</v>
      </c>
      <c r="AN7" s="124">
        <v>10</v>
      </c>
      <c r="AO7" s="114">
        <f t="shared" si="27"/>
        <v>0.90909090909090906</v>
      </c>
      <c r="AP7" s="124">
        <v>5</v>
      </c>
      <c r="AQ7" s="139">
        <f t="shared" si="28"/>
        <v>0.3125</v>
      </c>
      <c r="AR7" s="124">
        <v>4</v>
      </c>
      <c r="AS7" s="115">
        <f t="shared" si="29"/>
        <v>0.8</v>
      </c>
    </row>
    <row r="8" spans="1:45" s="262" customFormat="1" x14ac:dyDescent="0.25">
      <c r="A8" s="202" t="s">
        <v>17</v>
      </c>
      <c r="B8" s="203">
        <f t="shared" si="0"/>
        <v>78</v>
      </c>
      <c r="C8" s="204">
        <f t="shared" si="1"/>
        <v>50</v>
      </c>
      <c r="D8" s="205">
        <f t="shared" si="2"/>
        <v>0.64102564102564108</v>
      </c>
      <c r="E8" s="204">
        <f t="shared" si="3"/>
        <v>70</v>
      </c>
      <c r="F8" s="206">
        <f t="shared" si="4"/>
        <v>0.89743589743589747</v>
      </c>
      <c r="G8" s="204">
        <f t="shared" si="5"/>
        <v>50</v>
      </c>
      <c r="H8" s="205" cm="1">
        <f t="array" ref="H8">IFERROR(G8/E8,e)</f>
        <v>0.7142857142857143</v>
      </c>
      <c r="I8" s="204">
        <f t="shared" si="6"/>
        <v>8</v>
      </c>
      <c r="J8" s="206">
        <f t="shared" si="7"/>
        <v>0.10256410256410256</v>
      </c>
      <c r="K8" s="204">
        <f t="shared" si="8"/>
        <v>0</v>
      </c>
      <c r="L8" s="207" cm="1">
        <f t="array" ref="L8">IFERROR(K8/I8,e)</f>
        <v>0</v>
      </c>
      <c r="M8" s="241">
        <f t="shared" si="9"/>
        <v>44</v>
      </c>
      <c r="N8" s="208">
        <f t="shared" si="10"/>
        <v>26</v>
      </c>
      <c r="O8" s="205">
        <f t="shared" si="11"/>
        <v>0.59090909090909094</v>
      </c>
      <c r="P8" s="208">
        <v>39</v>
      </c>
      <c r="Q8" s="210">
        <f t="shared" si="12"/>
        <v>0.88636363636363635</v>
      </c>
      <c r="R8" s="208">
        <v>26</v>
      </c>
      <c r="S8" s="205">
        <f t="shared" si="13"/>
        <v>0.66666666666666663</v>
      </c>
      <c r="T8" s="127">
        <v>5</v>
      </c>
      <c r="U8" s="137">
        <f t="shared" si="14"/>
        <v>0.11363636363636363</v>
      </c>
      <c r="V8" s="127"/>
      <c r="W8" s="115">
        <f t="shared" si="15"/>
        <v>0</v>
      </c>
      <c r="X8" s="125">
        <f t="shared" si="16"/>
        <v>25</v>
      </c>
      <c r="Y8" s="126">
        <f t="shared" si="17"/>
        <v>18</v>
      </c>
      <c r="Z8" s="114">
        <f t="shared" si="18"/>
        <v>0.72</v>
      </c>
      <c r="AA8" s="126">
        <v>22</v>
      </c>
      <c r="AB8" s="138">
        <f t="shared" si="19"/>
        <v>0.88</v>
      </c>
      <c r="AC8" s="126">
        <v>18</v>
      </c>
      <c r="AD8" s="114">
        <f t="shared" si="20"/>
        <v>0.81818181818181823</v>
      </c>
      <c r="AE8" s="126">
        <v>3</v>
      </c>
      <c r="AF8" s="138">
        <f t="shared" si="21"/>
        <v>0.12</v>
      </c>
      <c r="AG8" s="126"/>
      <c r="AH8" s="114">
        <f t="shared" si="22"/>
        <v>0</v>
      </c>
      <c r="AI8" s="123">
        <f t="shared" si="23"/>
        <v>9</v>
      </c>
      <c r="AJ8" s="124">
        <f t="shared" si="24"/>
        <v>6</v>
      </c>
      <c r="AK8" s="114">
        <f t="shared" si="25"/>
        <v>0.66666666666666663</v>
      </c>
      <c r="AL8" s="124">
        <v>9</v>
      </c>
      <c r="AM8" s="139">
        <f t="shared" si="26"/>
        <v>1</v>
      </c>
      <c r="AN8" s="124">
        <v>6</v>
      </c>
      <c r="AO8" s="114">
        <f t="shared" si="27"/>
        <v>0.66666666666666663</v>
      </c>
      <c r="AP8" s="124"/>
      <c r="AQ8" s="139">
        <f t="shared" si="28"/>
        <v>0</v>
      </c>
      <c r="AR8" s="124"/>
      <c r="AS8" s="115" t="e">
        <f t="shared" si="29"/>
        <v>#DIV/0!</v>
      </c>
    </row>
    <row r="9" spans="1:45" s="262" customFormat="1" x14ac:dyDescent="0.25">
      <c r="A9" s="202" t="s">
        <v>12</v>
      </c>
      <c r="B9" s="203">
        <f t="shared" si="0"/>
        <v>58</v>
      </c>
      <c r="C9" s="204">
        <f t="shared" si="1"/>
        <v>35</v>
      </c>
      <c r="D9" s="205">
        <f t="shared" si="2"/>
        <v>0.60344827586206895</v>
      </c>
      <c r="E9" s="204">
        <f t="shared" si="3"/>
        <v>42</v>
      </c>
      <c r="F9" s="206">
        <f t="shared" si="4"/>
        <v>0.72413793103448276</v>
      </c>
      <c r="G9" s="204">
        <f t="shared" si="5"/>
        <v>32</v>
      </c>
      <c r="H9" s="205" cm="1">
        <f t="array" ref="H9">IFERROR(G9/E9,e)</f>
        <v>0.76190476190476186</v>
      </c>
      <c r="I9" s="204">
        <f t="shared" si="6"/>
        <v>16</v>
      </c>
      <c r="J9" s="206">
        <f t="shared" si="7"/>
        <v>0.27586206896551724</v>
      </c>
      <c r="K9" s="204">
        <f t="shared" si="8"/>
        <v>3</v>
      </c>
      <c r="L9" s="207" cm="1">
        <f t="array" ref="L9">IFERROR(K9/I9,e)</f>
        <v>0.1875</v>
      </c>
      <c r="M9" s="241">
        <f t="shared" si="9"/>
        <v>37</v>
      </c>
      <c r="N9" s="208">
        <f t="shared" si="10"/>
        <v>24</v>
      </c>
      <c r="O9" s="205">
        <f t="shared" si="11"/>
        <v>0.64864864864864868</v>
      </c>
      <c r="P9" s="208">
        <v>27</v>
      </c>
      <c r="Q9" s="210">
        <f t="shared" si="12"/>
        <v>0.72972972972972971</v>
      </c>
      <c r="R9" s="208">
        <v>22</v>
      </c>
      <c r="S9" s="205">
        <f t="shared" si="13"/>
        <v>0.81481481481481477</v>
      </c>
      <c r="T9" s="127">
        <v>10</v>
      </c>
      <c r="U9" s="137">
        <f t="shared" si="14"/>
        <v>0.27027027027027029</v>
      </c>
      <c r="V9" s="127">
        <v>2</v>
      </c>
      <c r="W9" s="115">
        <f t="shared" si="15"/>
        <v>0.2</v>
      </c>
      <c r="X9" s="125">
        <f t="shared" si="16"/>
        <v>14</v>
      </c>
      <c r="Y9" s="126">
        <f t="shared" si="17"/>
        <v>6</v>
      </c>
      <c r="Z9" s="114">
        <f t="shared" si="18"/>
        <v>0.42857142857142855</v>
      </c>
      <c r="AA9" s="126">
        <v>10</v>
      </c>
      <c r="AB9" s="138">
        <f t="shared" si="19"/>
        <v>0.7142857142857143</v>
      </c>
      <c r="AC9" s="126">
        <v>6</v>
      </c>
      <c r="AD9" s="114">
        <f t="shared" si="20"/>
        <v>0.6</v>
      </c>
      <c r="AE9" s="126">
        <v>4</v>
      </c>
      <c r="AF9" s="138">
        <f t="shared" si="21"/>
        <v>0.2857142857142857</v>
      </c>
      <c r="AG9" s="126"/>
      <c r="AH9" s="114">
        <f t="shared" si="22"/>
        <v>0</v>
      </c>
      <c r="AI9" s="123">
        <f t="shared" si="23"/>
        <v>7</v>
      </c>
      <c r="AJ9" s="124">
        <f t="shared" si="24"/>
        <v>5</v>
      </c>
      <c r="AK9" s="114">
        <f t="shared" si="25"/>
        <v>0.7142857142857143</v>
      </c>
      <c r="AL9" s="124">
        <v>5</v>
      </c>
      <c r="AM9" s="139">
        <f t="shared" si="26"/>
        <v>0.7142857142857143</v>
      </c>
      <c r="AN9" s="124">
        <v>4</v>
      </c>
      <c r="AO9" s="114">
        <f t="shared" si="27"/>
        <v>0.8</v>
      </c>
      <c r="AP9" s="124">
        <v>2</v>
      </c>
      <c r="AQ9" s="139">
        <f t="shared" si="28"/>
        <v>0.2857142857142857</v>
      </c>
      <c r="AR9" s="124">
        <v>1</v>
      </c>
      <c r="AS9" s="115">
        <f t="shared" si="29"/>
        <v>0.5</v>
      </c>
    </row>
    <row r="10" spans="1:45" s="262" customFormat="1" x14ac:dyDescent="0.25">
      <c r="A10" s="202" t="s">
        <v>11</v>
      </c>
      <c r="B10" s="203">
        <f t="shared" si="0"/>
        <v>145</v>
      </c>
      <c r="C10" s="204">
        <f t="shared" si="1"/>
        <v>92</v>
      </c>
      <c r="D10" s="205">
        <f t="shared" si="2"/>
        <v>0.6344827586206897</v>
      </c>
      <c r="E10" s="204">
        <f t="shared" si="3"/>
        <v>114</v>
      </c>
      <c r="F10" s="206">
        <f t="shared" si="4"/>
        <v>0.78620689655172415</v>
      </c>
      <c r="G10" s="204">
        <f t="shared" si="5"/>
        <v>82</v>
      </c>
      <c r="H10" s="205" cm="1">
        <f t="array" ref="H10">IFERROR(G10/E10,e)</f>
        <v>0.7192982456140351</v>
      </c>
      <c r="I10" s="204">
        <f t="shared" si="6"/>
        <v>31</v>
      </c>
      <c r="J10" s="206">
        <f t="shared" si="7"/>
        <v>0.21379310344827587</v>
      </c>
      <c r="K10" s="204">
        <f t="shared" si="8"/>
        <v>10</v>
      </c>
      <c r="L10" s="207" cm="1">
        <f t="array" ref="L10">IFERROR(K10/I10,e)</f>
        <v>0.32258064516129031</v>
      </c>
      <c r="M10" s="241">
        <f t="shared" si="9"/>
        <v>101</v>
      </c>
      <c r="N10" s="208">
        <f t="shared" si="10"/>
        <v>68</v>
      </c>
      <c r="O10" s="205">
        <f t="shared" si="11"/>
        <v>0.67326732673267331</v>
      </c>
      <c r="P10" s="208">
        <v>82</v>
      </c>
      <c r="Q10" s="210">
        <f t="shared" si="12"/>
        <v>0.81188118811881194</v>
      </c>
      <c r="R10" s="208">
        <v>59</v>
      </c>
      <c r="S10" s="205">
        <f t="shared" si="13"/>
        <v>0.71951219512195119</v>
      </c>
      <c r="T10" s="127">
        <v>19</v>
      </c>
      <c r="U10" s="137">
        <f t="shared" si="14"/>
        <v>0.18811881188118812</v>
      </c>
      <c r="V10" s="127">
        <v>9</v>
      </c>
      <c r="W10" s="115">
        <f t="shared" si="15"/>
        <v>0.47368421052631576</v>
      </c>
      <c r="X10" s="125">
        <f t="shared" si="16"/>
        <v>28</v>
      </c>
      <c r="Y10" s="126">
        <f t="shared" si="17"/>
        <v>17</v>
      </c>
      <c r="Z10" s="114">
        <f t="shared" si="18"/>
        <v>0.6071428571428571</v>
      </c>
      <c r="AA10" s="126">
        <v>20</v>
      </c>
      <c r="AB10" s="138">
        <f t="shared" si="19"/>
        <v>0.7142857142857143</v>
      </c>
      <c r="AC10" s="126">
        <v>16</v>
      </c>
      <c r="AD10" s="114">
        <f t="shared" si="20"/>
        <v>0.8</v>
      </c>
      <c r="AE10" s="126">
        <v>8</v>
      </c>
      <c r="AF10" s="138">
        <f t="shared" si="21"/>
        <v>0.2857142857142857</v>
      </c>
      <c r="AG10" s="126">
        <v>1</v>
      </c>
      <c r="AH10" s="114">
        <f t="shared" si="22"/>
        <v>0.125</v>
      </c>
      <c r="AI10" s="123">
        <f t="shared" si="23"/>
        <v>16</v>
      </c>
      <c r="AJ10" s="124">
        <f t="shared" si="24"/>
        <v>7</v>
      </c>
      <c r="AK10" s="114">
        <f t="shared" si="25"/>
        <v>0.4375</v>
      </c>
      <c r="AL10" s="124">
        <v>12</v>
      </c>
      <c r="AM10" s="139">
        <f t="shared" si="26"/>
        <v>0.75</v>
      </c>
      <c r="AN10" s="124">
        <v>7</v>
      </c>
      <c r="AO10" s="114">
        <f t="shared" si="27"/>
        <v>0.58333333333333337</v>
      </c>
      <c r="AP10" s="124">
        <v>4</v>
      </c>
      <c r="AQ10" s="139">
        <f t="shared" si="28"/>
        <v>0.25</v>
      </c>
      <c r="AR10" s="124"/>
      <c r="AS10" s="115">
        <f t="shared" si="29"/>
        <v>0</v>
      </c>
    </row>
    <row r="11" spans="1:45" s="262" customFormat="1" x14ac:dyDescent="0.25">
      <c r="A11" s="202" t="s">
        <v>14</v>
      </c>
      <c r="B11" s="203">
        <f t="shared" si="0"/>
        <v>100</v>
      </c>
      <c r="C11" s="204">
        <f t="shared" si="1"/>
        <v>57</v>
      </c>
      <c r="D11" s="205">
        <f t="shared" si="2"/>
        <v>0.56999999999999995</v>
      </c>
      <c r="E11" s="204">
        <f t="shared" si="3"/>
        <v>75</v>
      </c>
      <c r="F11" s="206">
        <f t="shared" si="4"/>
        <v>0.75</v>
      </c>
      <c r="G11" s="204">
        <f t="shared" si="5"/>
        <v>53</v>
      </c>
      <c r="H11" s="205" cm="1">
        <f t="array" ref="H11">IFERROR(G11/E11,e)</f>
        <v>0.70666666666666667</v>
      </c>
      <c r="I11" s="204">
        <f t="shared" si="6"/>
        <v>25</v>
      </c>
      <c r="J11" s="206">
        <f t="shared" si="7"/>
        <v>0.25</v>
      </c>
      <c r="K11" s="204">
        <f t="shared" si="8"/>
        <v>4</v>
      </c>
      <c r="L11" s="207" cm="1">
        <f t="array" ref="L11">IFERROR(K11/I11,e)</f>
        <v>0.16</v>
      </c>
      <c r="M11" s="241">
        <f t="shared" si="9"/>
        <v>59</v>
      </c>
      <c r="N11" s="208">
        <f t="shared" si="10"/>
        <v>34</v>
      </c>
      <c r="O11" s="205">
        <f t="shared" si="11"/>
        <v>0.57627118644067798</v>
      </c>
      <c r="P11" s="208">
        <v>45</v>
      </c>
      <c r="Q11" s="210">
        <f t="shared" si="12"/>
        <v>0.76271186440677963</v>
      </c>
      <c r="R11" s="208">
        <v>31</v>
      </c>
      <c r="S11" s="205">
        <f t="shared" si="13"/>
        <v>0.68888888888888888</v>
      </c>
      <c r="T11" s="127">
        <v>14</v>
      </c>
      <c r="U11" s="137">
        <f t="shared" si="14"/>
        <v>0.23728813559322035</v>
      </c>
      <c r="V11" s="127">
        <v>3</v>
      </c>
      <c r="W11" s="115">
        <f t="shared" si="15"/>
        <v>0.21428571428571427</v>
      </c>
      <c r="X11" s="125">
        <f t="shared" si="16"/>
        <v>25</v>
      </c>
      <c r="Y11" s="126">
        <f t="shared" si="17"/>
        <v>15</v>
      </c>
      <c r="Z11" s="114">
        <f t="shared" si="18"/>
        <v>0.6</v>
      </c>
      <c r="AA11" s="126">
        <v>17</v>
      </c>
      <c r="AB11" s="138">
        <f t="shared" si="19"/>
        <v>0.68</v>
      </c>
      <c r="AC11" s="126">
        <v>14</v>
      </c>
      <c r="AD11" s="114">
        <f t="shared" si="20"/>
        <v>0.82352941176470584</v>
      </c>
      <c r="AE11" s="126">
        <v>8</v>
      </c>
      <c r="AF11" s="138">
        <f t="shared" si="21"/>
        <v>0.32</v>
      </c>
      <c r="AG11" s="126">
        <v>1</v>
      </c>
      <c r="AH11" s="114">
        <f t="shared" si="22"/>
        <v>0.125</v>
      </c>
      <c r="AI11" s="123">
        <f t="shared" si="23"/>
        <v>16</v>
      </c>
      <c r="AJ11" s="124">
        <f t="shared" si="24"/>
        <v>8</v>
      </c>
      <c r="AK11" s="114">
        <f t="shared" si="25"/>
        <v>0.5</v>
      </c>
      <c r="AL11" s="124">
        <v>13</v>
      </c>
      <c r="AM11" s="139">
        <f t="shared" si="26"/>
        <v>0.8125</v>
      </c>
      <c r="AN11" s="124">
        <v>8</v>
      </c>
      <c r="AO11" s="114">
        <f t="shared" si="27"/>
        <v>0.61538461538461542</v>
      </c>
      <c r="AP11" s="124">
        <v>3</v>
      </c>
      <c r="AQ11" s="139">
        <f t="shared" si="28"/>
        <v>0.1875</v>
      </c>
      <c r="AR11" s="124"/>
      <c r="AS11" s="115">
        <f t="shared" si="29"/>
        <v>0</v>
      </c>
    </row>
    <row r="12" spans="1:45" s="262" customFormat="1" x14ac:dyDescent="0.25">
      <c r="A12" s="202" t="s">
        <v>40</v>
      </c>
      <c r="B12" s="203">
        <f t="shared" si="0"/>
        <v>71</v>
      </c>
      <c r="C12" s="204">
        <f t="shared" si="1"/>
        <v>41</v>
      </c>
      <c r="D12" s="205">
        <f t="shared" si="2"/>
        <v>0.57746478873239437</v>
      </c>
      <c r="E12" s="204">
        <f t="shared" si="3"/>
        <v>53</v>
      </c>
      <c r="F12" s="206">
        <f t="shared" si="4"/>
        <v>0.74647887323943662</v>
      </c>
      <c r="G12" s="204">
        <f t="shared" si="5"/>
        <v>38</v>
      </c>
      <c r="H12" s="205" cm="1">
        <f t="array" ref="H12">IFERROR(G12/E12,e)</f>
        <v>0.71698113207547165</v>
      </c>
      <c r="I12" s="204">
        <f t="shared" si="6"/>
        <v>18</v>
      </c>
      <c r="J12" s="206">
        <f t="shared" si="7"/>
        <v>0.25352112676056338</v>
      </c>
      <c r="K12" s="204">
        <f t="shared" si="8"/>
        <v>3</v>
      </c>
      <c r="L12" s="207" cm="1">
        <f t="array" ref="L12">IFERROR(K12/I12,e)</f>
        <v>0.16666666666666666</v>
      </c>
      <c r="M12" s="241">
        <f t="shared" si="9"/>
        <v>41</v>
      </c>
      <c r="N12" s="208">
        <f t="shared" si="10"/>
        <v>25</v>
      </c>
      <c r="O12" s="205">
        <f t="shared" si="11"/>
        <v>0.6097560975609756</v>
      </c>
      <c r="P12" s="208">
        <v>34</v>
      </c>
      <c r="Q12" s="210">
        <f t="shared" si="12"/>
        <v>0.82926829268292679</v>
      </c>
      <c r="R12" s="208">
        <v>23</v>
      </c>
      <c r="S12" s="205">
        <f t="shared" si="13"/>
        <v>0.67647058823529416</v>
      </c>
      <c r="T12" s="127">
        <v>7</v>
      </c>
      <c r="U12" s="137">
        <f t="shared" si="14"/>
        <v>0.17073170731707318</v>
      </c>
      <c r="V12" s="127">
        <v>2</v>
      </c>
      <c r="W12" s="115">
        <f t="shared" si="15"/>
        <v>0.2857142857142857</v>
      </c>
      <c r="X12" s="125">
        <f t="shared" si="16"/>
        <v>18</v>
      </c>
      <c r="Y12" s="126">
        <f t="shared" si="17"/>
        <v>11</v>
      </c>
      <c r="Z12" s="114">
        <f t="shared" si="18"/>
        <v>0.61111111111111116</v>
      </c>
      <c r="AA12" s="126">
        <v>13</v>
      </c>
      <c r="AB12" s="138">
        <f t="shared" si="19"/>
        <v>0.72222222222222221</v>
      </c>
      <c r="AC12" s="126">
        <v>11</v>
      </c>
      <c r="AD12" s="114">
        <f t="shared" si="20"/>
        <v>0.84615384615384615</v>
      </c>
      <c r="AE12" s="126">
        <v>5</v>
      </c>
      <c r="AF12" s="138">
        <f t="shared" si="21"/>
        <v>0.27777777777777779</v>
      </c>
      <c r="AG12" s="126"/>
      <c r="AH12" s="114">
        <f t="shared" si="22"/>
        <v>0</v>
      </c>
      <c r="AI12" s="123">
        <f t="shared" si="23"/>
        <v>12</v>
      </c>
      <c r="AJ12" s="124">
        <f t="shared" si="24"/>
        <v>5</v>
      </c>
      <c r="AK12" s="114">
        <f t="shared" si="25"/>
        <v>0.41666666666666669</v>
      </c>
      <c r="AL12" s="124">
        <v>6</v>
      </c>
      <c r="AM12" s="139">
        <f t="shared" si="26"/>
        <v>0.5</v>
      </c>
      <c r="AN12" s="124">
        <v>4</v>
      </c>
      <c r="AO12" s="114">
        <f t="shared" si="27"/>
        <v>0.66666666666666663</v>
      </c>
      <c r="AP12" s="124">
        <v>6</v>
      </c>
      <c r="AQ12" s="139">
        <f t="shared" si="28"/>
        <v>0.5</v>
      </c>
      <c r="AR12" s="124">
        <v>1</v>
      </c>
      <c r="AS12" s="115">
        <f t="shared" si="29"/>
        <v>0.16666666666666666</v>
      </c>
    </row>
    <row r="13" spans="1:45" s="262" customFormat="1" x14ac:dyDescent="0.25">
      <c r="A13" s="202" t="s">
        <v>54</v>
      </c>
      <c r="B13" s="203">
        <f t="shared" si="0"/>
        <v>40</v>
      </c>
      <c r="C13" s="204">
        <f t="shared" si="1"/>
        <v>23</v>
      </c>
      <c r="D13" s="205">
        <f t="shared" si="2"/>
        <v>0.57499999999999996</v>
      </c>
      <c r="E13" s="204">
        <f t="shared" si="3"/>
        <v>34</v>
      </c>
      <c r="F13" s="206">
        <f t="shared" si="4"/>
        <v>0.85</v>
      </c>
      <c r="G13" s="204">
        <f t="shared" si="5"/>
        <v>21</v>
      </c>
      <c r="H13" s="205" cm="1">
        <f t="array" ref="H13">IFERROR(G13/E13,e)</f>
        <v>0.61764705882352944</v>
      </c>
      <c r="I13" s="204">
        <f t="shared" si="6"/>
        <v>6</v>
      </c>
      <c r="J13" s="206">
        <f t="shared" si="7"/>
        <v>0.15</v>
      </c>
      <c r="K13" s="204">
        <f t="shared" si="8"/>
        <v>2</v>
      </c>
      <c r="L13" s="207" cm="1">
        <f t="array" ref="L13">IFERROR(K13/I13,e)</f>
        <v>0.33333333333333331</v>
      </c>
      <c r="M13" s="241">
        <f t="shared" si="9"/>
        <v>33</v>
      </c>
      <c r="N13" s="208">
        <f t="shared" si="10"/>
        <v>18</v>
      </c>
      <c r="O13" s="205">
        <f t="shared" si="11"/>
        <v>0.54545454545454541</v>
      </c>
      <c r="P13" s="208">
        <v>29</v>
      </c>
      <c r="Q13" s="210">
        <f t="shared" si="12"/>
        <v>0.87878787878787878</v>
      </c>
      <c r="R13" s="208">
        <v>17</v>
      </c>
      <c r="S13" s="205">
        <f t="shared" si="13"/>
        <v>0.58620689655172409</v>
      </c>
      <c r="T13" s="127">
        <v>4</v>
      </c>
      <c r="U13" s="137">
        <f t="shared" si="14"/>
        <v>0.12121212121212122</v>
      </c>
      <c r="V13" s="127">
        <v>1</v>
      </c>
      <c r="W13" s="115">
        <f t="shared" si="15"/>
        <v>0.25</v>
      </c>
      <c r="X13" s="125">
        <f t="shared" si="16"/>
        <v>7</v>
      </c>
      <c r="Y13" s="126">
        <f t="shared" si="17"/>
        <v>5</v>
      </c>
      <c r="Z13" s="114">
        <f t="shared" si="18"/>
        <v>0.7142857142857143</v>
      </c>
      <c r="AA13" s="126">
        <v>5</v>
      </c>
      <c r="AB13" s="138">
        <f t="shared" si="19"/>
        <v>0.7142857142857143</v>
      </c>
      <c r="AC13" s="126">
        <v>4</v>
      </c>
      <c r="AD13" s="114">
        <f t="shared" si="20"/>
        <v>0.8</v>
      </c>
      <c r="AE13" s="126">
        <v>2</v>
      </c>
      <c r="AF13" s="138">
        <f t="shared" si="21"/>
        <v>0.2857142857142857</v>
      </c>
      <c r="AG13" s="126">
        <v>1</v>
      </c>
      <c r="AH13" s="114">
        <f t="shared" si="22"/>
        <v>0.5</v>
      </c>
      <c r="AI13" s="123">
        <f t="shared" si="23"/>
        <v>0</v>
      </c>
      <c r="AJ13" s="124" t="str">
        <f t="shared" si="24"/>
        <v/>
      </c>
      <c r="AK13" s="114" t="e">
        <f t="shared" si="25"/>
        <v>#VALUE!</v>
      </c>
      <c r="AL13" s="124"/>
      <c r="AM13" s="139" t="str">
        <f t="shared" si="26"/>
        <v/>
      </c>
      <c r="AN13" s="124"/>
      <c r="AO13" s="114" t="e">
        <f t="shared" si="27"/>
        <v>#DIV/0!</v>
      </c>
      <c r="AP13" s="124"/>
      <c r="AQ13" s="139" t="str">
        <f t="shared" si="28"/>
        <v/>
      </c>
      <c r="AR13" s="124"/>
      <c r="AS13" s="115" t="e">
        <f t="shared" si="29"/>
        <v>#DIV/0!</v>
      </c>
    </row>
    <row r="14" spans="1:45" s="262" customFormat="1" x14ac:dyDescent="0.25">
      <c r="A14" s="202" t="s">
        <v>53</v>
      </c>
      <c r="B14" s="203">
        <f t="shared" si="0"/>
        <v>76</v>
      </c>
      <c r="C14" s="204">
        <f t="shared" si="1"/>
        <v>37</v>
      </c>
      <c r="D14" s="205">
        <f t="shared" si="2"/>
        <v>0.48684210526315791</v>
      </c>
      <c r="E14" s="204">
        <f t="shared" si="3"/>
        <v>58</v>
      </c>
      <c r="F14" s="206">
        <f t="shared" si="4"/>
        <v>0.76315789473684215</v>
      </c>
      <c r="G14" s="204">
        <f t="shared" si="5"/>
        <v>36</v>
      </c>
      <c r="H14" s="205" cm="1">
        <f t="array" ref="H14">IFERROR(G14/E14,e)</f>
        <v>0.62068965517241381</v>
      </c>
      <c r="I14" s="204">
        <f t="shared" si="6"/>
        <v>18</v>
      </c>
      <c r="J14" s="206">
        <f t="shared" si="7"/>
        <v>0.23684210526315788</v>
      </c>
      <c r="K14" s="204">
        <f t="shared" si="8"/>
        <v>1</v>
      </c>
      <c r="L14" s="207" cm="1">
        <f t="array" ref="L14">IFERROR(K14/I14,e)</f>
        <v>5.5555555555555552E-2</v>
      </c>
      <c r="M14" s="241">
        <f t="shared" si="9"/>
        <v>69</v>
      </c>
      <c r="N14" s="208">
        <f t="shared" si="10"/>
        <v>32</v>
      </c>
      <c r="O14" s="205">
        <f t="shared" si="11"/>
        <v>0.46376811594202899</v>
      </c>
      <c r="P14" s="208">
        <v>52</v>
      </c>
      <c r="Q14" s="210">
        <f t="shared" si="12"/>
        <v>0.75362318840579712</v>
      </c>
      <c r="R14" s="208">
        <v>31</v>
      </c>
      <c r="S14" s="205">
        <f t="shared" si="13"/>
        <v>0.59615384615384615</v>
      </c>
      <c r="T14" s="127">
        <v>17</v>
      </c>
      <c r="U14" s="137">
        <f t="shared" si="14"/>
        <v>0.24637681159420291</v>
      </c>
      <c r="V14" s="127">
        <v>1</v>
      </c>
      <c r="W14" s="115">
        <f t="shared" si="15"/>
        <v>5.8823529411764705E-2</v>
      </c>
      <c r="X14" s="125">
        <f t="shared" si="16"/>
        <v>3</v>
      </c>
      <c r="Y14" s="126">
        <f t="shared" si="17"/>
        <v>1</v>
      </c>
      <c r="Z14" s="114">
        <f t="shared" si="18"/>
        <v>0.33333333333333331</v>
      </c>
      <c r="AA14" s="126">
        <v>2</v>
      </c>
      <c r="AB14" s="138">
        <f t="shared" si="19"/>
        <v>0.66666666666666663</v>
      </c>
      <c r="AC14" s="126">
        <v>1</v>
      </c>
      <c r="AD14" s="114">
        <f t="shared" si="20"/>
        <v>0.5</v>
      </c>
      <c r="AE14" s="126">
        <v>1</v>
      </c>
      <c r="AF14" s="138">
        <f t="shared" si="21"/>
        <v>0.33333333333333331</v>
      </c>
      <c r="AG14" s="126"/>
      <c r="AH14" s="114">
        <f t="shared" si="22"/>
        <v>0</v>
      </c>
      <c r="AI14" s="123">
        <f t="shared" si="23"/>
        <v>4</v>
      </c>
      <c r="AJ14" s="124">
        <f t="shared" si="24"/>
        <v>4</v>
      </c>
      <c r="AK14" s="114">
        <f t="shared" si="25"/>
        <v>1</v>
      </c>
      <c r="AL14" s="124">
        <v>4</v>
      </c>
      <c r="AM14" s="139">
        <f t="shared" si="26"/>
        <v>1</v>
      </c>
      <c r="AN14" s="124">
        <v>4</v>
      </c>
      <c r="AO14" s="114">
        <f t="shared" si="27"/>
        <v>1</v>
      </c>
      <c r="AP14" s="124"/>
      <c r="AQ14" s="139">
        <f t="shared" si="28"/>
        <v>0</v>
      </c>
      <c r="AR14" s="124"/>
      <c r="AS14" s="115" t="e">
        <f t="shared" si="29"/>
        <v>#DIV/0!</v>
      </c>
    </row>
    <row r="15" spans="1:45" s="262" customFormat="1" x14ac:dyDescent="0.25">
      <c r="A15" s="202" t="s">
        <v>55</v>
      </c>
      <c r="B15" s="203">
        <f t="shared" si="0"/>
        <v>34</v>
      </c>
      <c r="C15" s="204">
        <f t="shared" si="1"/>
        <v>17</v>
      </c>
      <c r="D15" s="205">
        <f t="shared" si="2"/>
        <v>0.5</v>
      </c>
      <c r="E15" s="204">
        <f t="shared" si="3"/>
        <v>23</v>
      </c>
      <c r="F15" s="206">
        <f t="shared" si="4"/>
        <v>0.67647058823529416</v>
      </c>
      <c r="G15" s="204">
        <f t="shared" si="5"/>
        <v>13</v>
      </c>
      <c r="H15" s="205" cm="1">
        <f t="array" ref="H15">IFERROR(G15/E15,e)</f>
        <v>0.56521739130434778</v>
      </c>
      <c r="I15" s="204">
        <f t="shared" si="6"/>
        <v>11</v>
      </c>
      <c r="J15" s="206">
        <f t="shared" si="7"/>
        <v>0.3235294117647059</v>
      </c>
      <c r="K15" s="204">
        <f t="shared" si="8"/>
        <v>4</v>
      </c>
      <c r="L15" s="207" cm="1">
        <f t="array" ref="L15">IFERROR(K15/I15,e)</f>
        <v>0.36363636363636365</v>
      </c>
      <c r="M15" s="241">
        <f t="shared" si="9"/>
        <v>28</v>
      </c>
      <c r="N15" s="208">
        <f t="shared" si="10"/>
        <v>15</v>
      </c>
      <c r="O15" s="205">
        <f t="shared" si="11"/>
        <v>0.5357142857142857</v>
      </c>
      <c r="P15" s="208">
        <v>20</v>
      </c>
      <c r="Q15" s="210">
        <f t="shared" si="12"/>
        <v>0.7142857142857143</v>
      </c>
      <c r="R15" s="208">
        <v>12</v>
      </c>
      <c r="S15" s="205">
        <f t="shared" si="13"/>
        <v>0.6</v>
      </c>
      <c r="T15" s="127">
        <v>8</v>
      </c>
      <c r="U15" s="137">
        <f t="shared" si="14"/>
        <v>0.2857142857142857</v>
      </c>
      <c r="V15" s="127">
        <v>3</v>
      </c>
      <c r="W15" s="115">
        <f t="shared" si="15"/>
        <v>0.375</v>
      </c>
      <c r="X15" s="125">
        <f t="shared" si="16"/>
        <v>3</v>
      </c>
      <c r="Y15" s="126">
        <f t="shared" si="17"/>
        <v>2</v>
      </c>
      <c r="Z15" s="114">
        <f t="shared" si="18"/>
        <v>0.66666666666666663</v>
      </c>
      <c r="AA15" s="126">
        <v>1</v>
      </c>
      <c r="AB15" s="138">
        <f t="shared" si="19"/>
        <v>0.33333333333333331</v>
      </c>
      <c r="AC15" s="126">
        <v>1</v>
      </c>
      <c r="AD15" s="114">
        <f t="shared" si="20"/>
        <v>1</v>
      </c>
      <c r="AE15" s="126">
        <v>2</v>
      </c>
      <c r="AF15" s="138">
        <f t="shared" si="21"/>
        <v>0.66666666666666663</v>
      </c>
      <c r="AG15" s="126">
        <v>1</v>
      </c>
      <c r="AH15" s="114">
        <f t="shared" si="22"/>
        <v>0.5</v>
      </c>
      <c r="AI15" s="123">
        <f t="shared" si="23"/>
        <v>3</v>
      </c>
      <c r="AJ15" s="124">
        <f t="shared" si="24"/>
        <v>0</v>
      </c>
      <c r="AK15" s="114">
        <f t="shared" si="25"/>
        <v>0</v>
      </c>
      <c r="AL15" s="124">
        <v>2</v>
      </c>
      <c r="AM15" s="139">
        <f t="shared" si="26"/>
        <v>0.66666666666666663</v>
      </c>
      <c r="AN15" s="124"/>
      <c r="AO15" s="114">
        <f t="shared" si="27"/>
        <v>0</v>
      </c>
      <c r="AP15" s="124">
        <v>1</v>
      </c>
      <c r="AQ15" s="139">
        <f t="shared" si="28"/>
        <v>0.33333333333333331</v>
      </c>
      <c r="AR15" s="124"/>
      <c r="AS15" s="115">
        <f t="shared" si="29"/>
        <v>0</v>
      </c>
    </row>
    <row r="16" spans="1:45" s="268" customFormat="1" x14ac:dyDescent="0.25">
      <c r="A16" s="202" t="s">
        <v>69</v>
      </c>
      <c r="B16" s="203">
        <f t="shared" si="0"/>
        <v>28</v>
      </c>
      <c r="C16" s="204">
        <f t="shared" si="1"/>
        <v>15</v>
      </c>
      <c r="D16" s="205">
        <f t="shared" si="2"/>
        <v>0.5357142857142857</v>
      </c>
      <c r="E16" s="204">
        <f t="shared" si="3"/>
        <v>24</v>
      </c>
      <c r="F16" s="206">
        <f t="shared" si="4"/>
        <v>0.8571428571428571</v>
      </c>
      <c r="G16" s="204">
        <f t="shared" si="5"/>
        <v>15</v>
      </c>
      <c r="H16" s="205" cm="1">
        <f t="array" ref="H16">IFERROR(G16/E16,e)</f>
        <v>0.625</v>
      </c>
      <c r="I16" s="204">
        <f t="shared" si="6"/>
        <v>4</v>
      </c>
      <c r="J16" s="206">
        <f t="shared" si="7"/>
        <v>0.14285714285714285</v>
      </c>
      <c r="K16" s="204">
        <f t="shared" si="8"/>
        <v>0</v>
      </c>
      <c r="L16" s="207" cm="1">
        <f t="array" ref="L16">IFERROR(K16/I16,e)</f>
        <v>0</v>
      </c>
      <c r="M16" s="241">
        <f t="shared" si="9"/>
        <v>25</v>
      </c>
      <c r="N16" s="208">
        <f t="shared" si="10"/>
        <v>13</v>
      </c>
      <c r="O16" s="205">
        <f t="shared" si="11"/>
        <v>0.52</v>
      </c>
      <c r="P16" s="208">
        <v>21</v>
      </c>
      <c r="Q16" s="210">
        <f t="shared" si="12"/>
        <v>0.84</v>
      </c>
      <c r="R16" s="208">
        <v>13</v>
      </c>
      <c r="S16" s="205">
        <f t="shared" si="13"/>
        <v>0.61904761904761907</v>
      </c>
      <c r="T16" s="127">
        <v>4</v>
      </c>
      <c r="U16" s="137">
        <f t="shared" si="14"/>
        <v>0.16</v>
      </c>
      <c r="V16" s="127"/>
      <c r="W16" s="115">
        <f t="shared" si="15"/>
        <v>0</v>
      </c>
      <c r="X16" s="125">
        <f t="shared" si="16"/>
        <v>0</v>
      </c>
      <c r="Y16" s="126" t="str">
        <f t="shared" si="17"/>
        <v/>
      </c>
      <c r="Z16" s="114" t="e">
        <f t="shared" si="18"/>
        <v>#VALUE!</v>
      </c>
      <c r="AA16" s="126"/>
      <c r="AB16" s="138" t="str">
        <f t="shared" si="19"/>
        <v/>
      </c>
      <c r="AC16" s="126"/>
      <c r="AD16" s="114" t="e">
        <f t="shared" si="20"/>
        <v>#DIV/0!</v>
      </c>
      <c r="AE16" s="126"/>
      <c r="AF16" s="138" t="str">
        <f t="shared" si="21"/>
        <v/>
      </c>
      <c r="AG16" s="126"/>
      <c r="AH16" s="114" t="e">
        <f t="shared" si="22"/>
        <v>#DIV/0!</v>
      </c>
      <c r="AI16" s="123">
        <f t="shared" si="23"/>
        <v>3</v>
      </c>
      <c r="AJ16" s="124">
        <f t="shared" si="24"/>
        <v>2</v>
      </c>
      <c r="AK16" s="114">
        <f t="shared" si="25"/>
        <v>0.66666666666666663</v>
      </c>
      <c r="AL16" s="124">
        <v>3</v>
      </c>
      <c r="AM16" s="139">
        <f t="shared" si="26"/>
        <v>1</v>
      </c>
      <c r="AN16" s="124">
        <v>2</v>
      </c>
      <c r="AO16" s="114">
        <f t="shared" si="27"/>
        <v>0.66666666666666663</v>
      </c>
      <c r="AP16" s="124"/>
      <c r="AQ16" s="139">
        <f t="shared" si="28"/>
        <v>0</v>
      </c>
      <c r="AR16" s="124"/>
      <c r="AS16" s="115" t="e">
        <f t="shared" si="29"/>
        <v>#DIV/0!</v>
      </c>
    </row>
    <row r="17" spans="1:45" s="262" customFormat="1" x14ac:dyDescent="0.25">
      <c r="A17" s="202" t="s">
        <v>68</v>
      </c>
      <c r="B17" s="203">
        <f t="shared" si="0"/>
        <v>8</v>
      </c>
      <c r="C17" s="204">
        <f t="shared" si="1"/>
        <v>4</v>
      </c>
      <c r="D17" s="205">
        <f t="shared" si="2"/>
        <v>0.5</v>
      </c>
      <c r="E17" s="204">
        <f t="shared" si="3"/>
        <v>7</v>
      </c>
      <c r="F17" s="206">
        <f t="shared" si="4"/>
        <v>0.875</v>
      </c>
      <c r="G17" s="204">
        <f t="shared" si="5"/>
        <v>4</v>
      </c>
      <c r="H17" s="205" cm="1">
        <f t="array" ref="H17">IFERROR(G17/E17,e)</f>
        <v>0.5714285714285714</v>
      </c>
      <c r="I17" s="204">
        <f t="shared" si="6"/>
        <v>1</v>
      </c>
      <c r="J17" s="206">
        <f t="shared" si="7"/>
        <v>0.125</v>
      </c>
      <c r="K17" s="204">
        <f t="shared" si="8"/>
        <v>0</v>
      </c>
      <c r="L17" s="207" cm="1">
        <f t="array" ref="L17">IFERROR(K17/I17,e)</f>
        <v>0</v>
      </c>
      <c r="M17" s="241">
        <f t="shared" si="9"/>
        <v>8</v>
      </c>
      <c r="N17" s="208">
        <f t="shared" si="10"/>
        <v>4</v>
      </c>
      <c r="O17" s="205">
        <f t="shared" si="11"/>
        <v>0.5</v>
      </c>
      <c r="P17" s="208">
        <v>7</v>
      </c>
      <c r="Q17" s="210">
        <f t="shared" si="12"/>
        <v>0.875</v>
      </c>
      <c r="R17" s="208">
        <v>4</v>
      </c>
      <c r="S17" s="205">
        <f t="shared" si="13"/>
        <v>0.5714285714285714</v>
      </c>
      <c r="T17" s="127">
        <v>1</v>
      </c>
      <c r="U17" s="137">
        <f t="shared" si="14"/>
        <v>0.125</v>
      </c>
      <c r="V17" s="127"/>
      <c r="W17" s="115">
        <f t="shared" si="15"/>
        <v>0</v>
      </c>
      <c r="X17" s="125">
        <f t="shared" si="16"/>
        <v>0</v>
      </c>
      <c r="Y17" s="126" t="str">
        <f t="shared" si="17"/>
        <v/>
      </c>
      <c r="Z17" s="114" t="e">
        <f t="shared" si="18"/>
        <v>#VALUE!</v>
      </c>
      <c r="AA17" s="126"/>
      <c r="AB17" s="138" t="str">
        <f t="shared" si="19"/>
        <v/>
      </c>
      <c r="AC17" s="126"/>
      <c r="AD17" s="114" t="e">
        <f t="shared" si="20"/>
        <v>#DIV/0!</v>
      </c>
      <c r="AE17" s="126"/>
      <c r="AF17" s="138" t="str">
        <f t="shared" si="21"/>
        <v/>
      </c>
      <c r="AG17" s="126"/>
      <c r="AH17" s="114" t="e">
        <f t="shared" si="22"/>
        <v>#DIV/0!</v>
      </c>
      <c r="AI17" s="123">
        <f t="shared" si="23"/>
        <v>0</v>
      </c>
      <c r="AJ17" s="124" t="str">
        <f t="shared" si="24"/>
        <v/>
      </c>
      <c r="AK17" s="114" t="e">
        <f t="shared" si="25"/>
        <v>#VALUE!</v>
      </c>
      <c r="AL17" s="124"/>
      <c r="AM17" s="139" t="str">
        <f t="shared" si="26"/>
        <v/>
      </c>
      <c r="AN17" s="124"/>
      <c r="AO17" s="114" t="e">
        <f t="shared" si="27"/>
        <v>#DIV/0!</v>
      </c>
      <c r="AP17" s="124"/>
      <c r="AQ17" s="139" t="str">
        <f t="shared" si="28"/>
        <v/>
      </c>
      <c r="AR17" s="124"/>
      <c r="AS17" s="115" t="e">
        <f t="shared" si="29"/>
        <v>#DIV/0!</v>
      </c>
    </row>
    <row r="18" spans="1:45" s="262" customFormat="1" x14ac:dyDescent="0.25">
      <c r="A18" s="202" t="s">
        <v>70</v>
      </c>
      <c r="B18" s="203">
        <f t="shared" si="0"/>
        <v>22</v>
      </c>
      <c r="C18" s="204">
        <f t="shared" si="1"/>
        <v>15</v>
      </c>
      <c r="D18" s="205">
        <f t="shared" si="2"/>
        <v>0.68181818181818177</v>
      </c>
      <c r="E18" s="204">
        <f t="shared" si="3"/>
        <v>18</v>
      </c>
      <c r="F18" s="206">
        <f t="shared" si="4"/>
        <v>0.81818181818181823</v>
      </c>
      <c r="G18" s="204">
        <f t="shared" si="5"/>
        <v>14</v>
      </c>
      <c r="H18" s="205" cm="1">
        <f t="array" ref="H18">IFERROR(G18/E18,e)</f>
        <v>0.77777777777777779</v>
      </c>
      <c r="I18" s="204">
        <f t="shared" si="6"/>
        <v>4</v>
      </c>
      <c r="J18" s="206">
        <f t="shared" si="7"/>
        <v>0.18181818181818182</v>
      </c>
      <c r="K18" s="204">
        <f t="shared" si="8"/>
        <v>1</v>
      </c>
      <c r="L18" s="207" cm="1">
        <f t="array" ref="L18">IFERROR(K18/I18,e)</f>
        <v>0.25</v>
      </c>
      <c r="M18" s="241">
        <f t="shared" si="9"/>
        <v>6</v>
      </c>
      <c r="N18" s="208">
        <f t="shared" si="10"/>
        <v>2</v>
      </c>
      <c r="O18" s="205">
        <f t="shared" si="11"/>
        <v>0.33333333333333331</v>
      </c>
      <c r="P18" s="208">
        <v>3</v>
      </c>
      <c r="Q18" s="210">
        <f t="shared" si="12"/>
        <v>0.5</v>
      </c>
      <c r="R18" s="208">
        <v>1</v>
      </c>
      <c r="S18" s="205">
        <f t="shared" si="13"/>
        <v>0.33333333333333331</v>
      </c>
      <c r="T18" s="127">
        <v>3</v>
      </c>
      <c r="U18" s="137">
        <f t="shared" si="14"/>
        <v>0.5</v>
      </c>
      <c r="V18" s="127">
        <v>1</v>
      </c>
      <c r="W18" s="115">
        <f t="shared" si="15"/>
        <v>0.33333333333333331</v>
      </c>
      <c r="X18" s="125">
        <f t="shared" si="16"/>
        <v>10</v>
      </c>
      <c r="Y18" s="126">
        <f t="shared" si="17"/>
        <v>9</v>
      </c>
      <c r="Z18" s="114">
        <f t="shared" si="18"/>
        <v>0.9</v>
      </c>
      <c r="AA18" s="126">
        <v>9</v>
      </c>
      <c r="AB18" s="138">
        <f t="shared" si="19"/>
        <v>0.9</v>
      </c>
      <c r="AC18" s="126">
        <v>9</v>
      </c>
      <c r="AD18" s="114">
        <f t="shared" si="20"/>
        <v>1</v>
      </c>
      <c r="AE18" s="126">
        <v>1</v>
      </c>
      <c r="AF18" s="138">
        <f t="shared" si="21"/>
        <v>0.1</v>
      </c>
      <c r="AG18" s="126"/>
      <c r="AH18" s="114">
        <f t="shared" si="22"/>
        <v>0</v>
      </c>
      <c r="AI18" s="123">
        <f t="shared" si="23"/>
        <v>6</v>
      </c>
      <c r="AJ18" s="124">
        <f t="shared" si="24"/>
        <v>4</v>
      </c>
      <c r="AK18" s="114">
        <f t="shared" si="25"/>
        <v>0.66666666666666663</v>
      </c>
      <c r="AL18" s="124">
        <v>6</v>
      </c>
      <c r="AM18" s="139">
        <f t="shared" si="26"/>
        <v>1</v>
      </c>
      <c r="AN18" s="124">
        <v>4</v>
      </c>
      <c r="AO18" s="114">
        <f t="shared" si="27"/>
        <v>0.66666666666666663</v>
      </c>
      <c r="AP18" s="124"/>
      <c r="AQ18" s="139">
        <f t="shared" si="28"/>
        <v>0</v>
      </c>
      <c r="AR18" s="124"/>
      <c r="AS18" s="115" t="e">
        <f t="shared" si="29"/>
        <v>#DIV/0!</v>
      </c>
    </row>
    <row r="19" spans="1:45" s="262" customFormat="1" x14ac:dyDescent="0.25">
      <c r="A19" s="202" t="s">
        <v>71</v>
      </c>
      <c r="B19" s="203">
        <f t="shared" si="0"/>
        <v>41</v>
      </c>
      <c r="C19" s="204">
        <f t="shared" si="1"/>
        <v>29</v>
      </c>
      <c r="D19" s="205">
        <f t="shared" si="2"/>
        <v>0.70731707317073167</v>
      </c>
      <c r="E19" s="204">
        <f t="shared" si="3"/>
        <v>33</v>
      </c>
      <c r="F19" s="206">
        <f t="shared" si="4"/>
        <v>0.80487804878048785</v>
      </c>
      <c r="G19" s="204">
        <f t="shared" si="5"/>
        <v>25</v>
      </c>
      <c r="H19" s="205" cm="1">
        <f t="array" ref="H19">IFERROR(G19/E19,e)</f>
        <v>0.75757575757575757</v>
      </c>
      <c r="I19" s="204">
        <f t="shared" si="6"/>
        <v>8</v>
      </c>
      <c r="J19" s="206">
        <f t="shared" si="7"/>
        <v>0.1951219512195122</v>
      </c>
      <c r="K19" s="204">
        <f t="shared" si="8"/>
        <v>4</v>
      </c>
      <c r="L19" s="207" cm="1">
        <f t="array" ref="L19">IFERROR(K19/I19,e)</f>
        <v>0.5</v>
      </c>
      <c r="M19" s="241">
        <f t="shared" si="9"/>
        <v>25</v>
      </c>
      <c r="N19" s="208">
        <f t="shared" si="10"/>
        <v>17</v>
      </c>
      <c r="O19" s="205">
        <f t="shared" si="11"/>
        <v>0.68</v>
      </c>
      <c r="P19" s="208">
        <v>19</v>
      </c>
      <c r="Q19" s="210">
        <f t="shared" si="12"/>
        <v>0.76</v>
      </c>
      <c r="R19" s="208">
        <v>13</v>
      </c>
      <c r="S19" s="205">
        <f t="shared" si="13"/>
        <v>0.68421052631578949</v>
      </c>
      <c r="T19" s="127">
        <v>6</v>
      </c>
      <c r="U19" s="137">
        <f t="shared" si="14"/>
        <v>0.24</v>
      </c>
      <c r="V19" s="127">
        <v>4</v>
      </c>
      <c r="W19" s="115">
        <f t="shared" si="15"/>
        <v>0.66666666666666663</v>
      </c>
      <c r="X19" s="125">
        <f t="shared" si="16"/>
        <v>10</v>
      </c>
      <c r="Y19" s="126">
        <f t="shared" si="17"/>
        <v>8</v>
      </c>
      <c r="Z19" s="114">
        <f t="shared" si="18"/>
        <v>0.8</v>
      </c>
      <c r="AA19" s="126">
        <v>8</v>
      </c>
      <c r="AB19" s="138">
        <f t="shared" si="19"/>
        <v>0.8</v>
      </c>
      <c r="AC19" s="126">
        <v>8</v>
      </c>
      <c r="AD19" s="114">
        <f t="shared" si="20"/>
        <v>1</v>
      </c>
      <c r="AE19" s="126">
        <v>2</v>
      </c>
      <c r="AF19" s="138">
        <f t="shared" si="21"/>
        <v>0.2</v>
      </c>
      <c r="AG19" s="126"/>
      <c r="AH19" s="114">
        <f t="shared" si="22"/>
        <v>0</v>
      </c>
      <c r="AI19" s="123">
        <f t="shared" si="23"/>
        <v>6</v>
      </c>
      <c r="AJ19" s="124">
        <f t="shared" si="24"/>
        <v>4</v>
      </c>
      <c r="AK19" s="114">
        <f t="shared" si="25"/>
        <v>0.66666666666666663</v>
      </c>
      <c r="AL19" s="124">
        <v>6</v>
      </c>
      <c r="AM19" s="139">
        <f t="shared" si="26"/>
        <v>1</v>
      </c>
      <c r="AN19" s="124">
        <v>4</v>
      </c>
      <c r="AO19" s="114">
        <f t="shared" si="27"/>
        <v>0.66666666666666663</v>
      </c>
      <c r="AP19" s="124"/>
      <c r="AQ19" s="139">
        <f t="shared" si="28"/>
        <v>0</v>
      </c>
      <c r="AR19" s="124"/>
      <c r="AS19" s="115" t="e">
        <f t="shared" si="29"/>
        <v>#DIV/0!</v>
      </c>
    </row>
    <row r="20" spans="1:45" s="268" customFormat="1" x14ac:dyDescent="0.25">
      <c r="A20" s="202" t="s">
        <v>79</v>
      </c>
      <c r="B20" s="203">
        <f t="shared" si="0"/>
        <v>47</v>
      </c>
      <c r="C20" s="204">
        <f t="shared" si="1"/>
        <v>26</v>
      </c>
      <c r="D20" s="205">
        <f t="shared" si="2"/>
        <v>0.55319148936170215</v>
      </c>
      <c r="E20" s="204">
        <f t="shared" si="3"/>
        <v>43</v>
      </c>
      <c r="F20" s="206">
        <f t="shared" si="4"/>
        <v>0.91489361702127658</v>
      </c>
      <c r="G20" s="204">
        <f t="shared" si="5"/>
        <v>25</v>
      </c>
      <c r="H20" s="205" cm="1">
        <f t="array" ref="H20">IFERROR(G20/E20,e)</f>
        <v>0.58139534883720934</v>
      </c>
      <c r="I20" s="204">
        <f t="shared" si="6"/>
        <v>4</v>
      </c>
      <c r="J20" s="206">
        <f t="shared" si="7"/>
        <v>8.5106382978723402E-2</v>
      </c>
      <c r="K20" s="204">
        <f t="shared" si="8"/>
        <v>1</v>
      </c>
      <c r="L20" s="207" cm="1">
        <f t="array" ref="L20">IFERROR(K20/I20,e)</f>
        <v>0.25</v>
      </c>
      <c r="M20" s="241">
        <f t="shared" si="9"/>
        <v>47</v>
      </c>
      <c r="N20" s="208">
        <f t="shared" si="10"/>
        <v>26</v>
      </c>
      <c r="O20" s="205">
        <f t="shared" si="11"/>
        <v>0.55319148936170215</v>
      </c>
      <c r="P20" s="208">
        <v>43</v>
      </c>
      <c r="Q20" s="210">
        <f t="shared" si="12"/>
        <v>0.91489361702127658</v>
      </c>
      <c r="R20" s="208">
        <v>25</v>
      </c>
      <c r="S20" s="205">
        <f t="shared" si="13"/>
        <v>0.58139534883720934</v>
      </c>
      <c r="T20" s="127">
        <v>4</v>
      </c>
      <c r="U20" s="137">
        <f t="shared" si="14"/>
        <v>8.5106382978723402E-2</v>
      </c>
      <c r="V20" s="127">
        <v>1</v>
      </c>
      <c r="W20" s="115">
        <f t="shared" si="15"/>
        <v>0.25</v>
      </c>
      <c r="X20" s="125">
        <f t="shared" si="16"/>
        <v>0</v>
      </c>
      <c r="Y20" s="126" t="str">
        <f t="shared" si="17"/>
        <v/>
      </c>
      <c r="Z20" s="114" t="e">
        <f t="shared" si="18"/>
        <v>#VALUE!</v>
      </c>
      <c r="AA20" s="126"/>
      <c r="AB20" s="138" t="str">
        <f t="shared" si="19"/>
        <v/>
      </c>
      <c r="AC20" s="126"/>
      <c r="AD20" s="114" t="e">
        <f t="shared" si="20"/>
        <v>#DIV/0!</v>
      </c>
      <c r="AE20" s="126"/>
      <c r="AF20" s="138" t="str">
        <f t="shared" si="21"/>
        <v/>
      </c>
      <c r="AG20" s="126"/>
      <c r="AH20" s="114" t="e">
        <f t="shared" si="22"/>
        <v>#DIV/0!</v>
      </c>
      <c r="AI20" s="123">
        <f t="shared" si="23"/>
        <v>0</v>
      </c>
      <c r="AJ20" s="124" t="str">
        <f t="shared" si="24"/>
        <v/>
      </c>
      <c r="AK20" s="114" t="e">
        <f t="shared" si="25"/>
        <v>#VALUE!</v>
      </c>
      <c r="AL20" s="124"/>
      <c r="AM20" s="139" t="str">
        <f t="shared" si="26"/>
        <v/>
      </c>
      <c r="AN20" s="124"/>
      <c r="AO20" s="114" t="e">
        <f t="shared" si="27"/>
        <v>#DIV/0!</v>
      </c>
      <c r="AP20" s="124"/>
      <c r="AQ20" s="139" t="str">
        <f t="shared" si="28"/>
        <v/>
      </c>
      <c r="AR20" s="124"/>
      <c r="AS20" s="115" t="e">
        <f t="shared" si="29"/>
        <v>#DIV/0!</v>
      </c>
    </row>
    <row r="21" spans="1:45" s="262" customFormat="1" x14ac:dyDescent="0.25">
      <c r="A21" s="276" t="s">
        <v>90</v>
      </c>
      <c r="B21" s="234">
        <f t="shared" ref="B21" si="30">E21+I21</f>
        <v>39</v>
      </c>
      <c r="C21" s="235">
        <f t="shared" ref="C21" si="31">SUM(N21,Y21,AJ21)</f>
        <v>24</v>
      </c>
      <c r="D21" s="236">
        <f t="shared" ref="D21" si="32">C21/B21</f>
        <v>0.61538461538461542</v>
      </c>
      <c r="E21" s="235">
        <f t="shared" ref="E21" si="33">SUM(P21,AA21,AL21)</f>
        <v>32</v>
      </c>
      <c r="F21" s="237">
        <f t="shared" ref="F21" si="34">E21/B21</f>
        <v>0.82051282051282048</v>
      </c>
      <c r="G21" s="235">
        <f t="shared" ref="G21" si="35">SUM(R21,AC21,AN21)</f>
        <v>20</v>
      </c>
      <c r="H21" s="236" cm="1">
        <f t="array" ref="H21">IFERROR(G21/E21,e)</f>
        <v>0.625</v>
      </c>
      <c r="I21" s="235">
        <f t="shared" ref="I21" si="36">SUM(T21,AE21,AP21)</f>
        <v>7</v>
      </c>
      <c r="J21" s="237">
        <f t="shared" ref="J21" si="37">I21/B21</f>
        <v>0.17948717948717949</v>
      </c>
      <c r="K21" s="235">
        <f t="shared" ref="K21" si="38">SUM(V21,AG21,AR21)</f>
        <v>4</v>
      </c>
      <c r="L21" s="238" cm="1">
        <f t="array" ref="L21">IFERROR(K21/I21,e)</f>
        <v>0.5714285714285714</v>
      </c>
      <c r="M21" s="242">
        <f t="shared" ref="M21" si="39">P21+T21</f>
        <v>39</v>
      </c>
      <c r="N21" s="243">
        <f t="shared" ref="N21" si="40">IF(M21=0,"",R21+V21)</f>
        <v>24</v>
      </c>
      <c r="O21" s="236">
        <f t="shared" ref="O21" si="41">N21/M21</f>
        <v>0.61538461538461542</v>
      </c>
      <c r="P21" s="243">
        <v>32</v>
      </c>
      <c r="Q21" s="346">
        <f t="shared" ref="Q21" si="42">IF(M21=0,"",P21/M21)</f>
        <v>0.82051282051282048</v>
      </c>
      <c r="R21" s="243">
        <v>20</v>
      </c>
      <c r="S21" s="236">
        <f t="shared" ref="S21" si="43">R21/P21</f>
        <v>0.625</v>
      </c>
      <c r="T21" s="233">
        <v>7</v>
      </c>
      <c r="U21" s="244">
        <f t="shared" ref="U21" si="44">IF(M21=0,"",T21/M21)</f>
        <v>0.17948717948717949</v>
      </c>
      <c r="V21" s="233">
        <v>4</v>
      </c>
      <c r="W21" s="246">
        <f t="shared" ref="W21" si="45">V21/T21</f>
        <v>0.5714285714285714</v>
      </c>
      <c r="X21" s="277">
        <f t="shared" ref="X21" si="46">AA21+AE21</f>
        <v>0</v>
      </c>
      <c r="Y21" s="278" t="str">
        <f t="shared" ref="Y21" si="47">IF(X21=0,"",AC21+AG21)</f>
        <v/>
      </c>
      <c r="Z21" s="245" t="e">
        <f t="shared" ref="Z21" si="48">Y21/X21</f>
        <v>#VALUE!</v>
      </c>
      <c r="AA21" s="278"/>
      <c r="AB21" s="279" t="str">
        <f t="shared" ref="AB21" si="49">IF(X21=0,"",AA21/X21)</f>
        <v/>
      </c>
      <c r="AC21" s="278"/>
      <c r="AD21" s="245" t="e">
        <f t="shared" ref="AD21" si="50">AC21/AA21</f>
        <v>#DIV/0!</v>
      </c>
      <c r="AE21" s="278"/>
      <c r="AF21" s="279" t="str">
        <f t="shared" ref="AF21" si="51">IF(X21=0,"",AE21/X21)</f>
        <v/>
      </c>
      <c r="AG21" s="278"/>
      <c r="AH21" s="245" t="e">
        <f t="shared" ref="AH21" si="52">AG21/AE21</f>
        <v>#DIV/0!</v>
      </c>
      <c r="AI21" s="280">
        <f t="shared" ref="AI21" si="53">AL21+AP21</f>
        <v>0</v>
      </c>
      <c r="AJ21" s="281" t="str">
        <f t="shared" ref="AJ21" si="54">IF(AI21=0,"",AN21+AR21)</f>
        <v/>
      </c>
      <c r="AK21" s="245" t="e">
        <f t="shared" ref="AK21" si="55">AJ21/AI21</f>
        <v>#VALUE!</v>
      </c>
      <c r="AL21" s="281"/>
      <c r="AM21" s="282" t="str">
        <f t="shared" ref="AM21" si="56">IF(AI21=0,"",AL21/AI21)</f>
        <v/>
      </c>
      <c r="AN21" s="281"/>
      <c r="AO21" s="245" t="e">
        <f t="shared" ref="AO21" si="57">AN21/AL21</f>
        <v>#DIV/0!</v>
      </c>
      <c r="AP21" s="281"/>
      <c r="AQ21" s="282" t="str">
        <f t="shared" ref="AQ21" si="58">IF(AI21=0,"",AP21/AI21)</f>
        <v/>
      </c>
      <c r="AR21" s="281"/>
      <c r="AS21" s="246" t="e">
        <f t="shared" ref="AS21" si="59">AR21/AP21</f>
        <v>#DIV/0!</v>
      </c>
    </row>
    <row r="22" spans="1:45" s="262" customFormat="1" x14ac:dyDescent="0.25">
      <c r="A22" s="347"/>
      <c r="B22" s="347"/>
      <c r="C22" s="347"/>
      <c r="D22" s="348"/>
      <c r="E22" s="349"/>
      <c r="F22" s="350"/>
      <c r="G22" s="349"/>
      <c r="H22" s="350"/>
      <c r="I22" s="349"/>
      <c r="J22" s="350"/>
      <c r="K22" s="349"/>
      <c r="L22" s="350"/>
      <c r="M22" s="349"/>
      <c r="N22" s="349"/>
      <c r="O22" s="349"/>
      <c r="P22" s="349"/>
      <c r="Q22" s="351"/>
      <c r="R22" s="349"/>
      <c r="S22" s="349"/>
      <c r="U22" s="264"/>
      <c r="AB22" s="265"/>
      <c r="AF22" s="265"/>
      <c r="AM22" s="266"/>
      <c r="AQ22" s="266"/>
    </row>
    <row r="23" spans="1:45" s="262" customFormat="1" x14ac:dyDescent="0.25">
      <c r="A23" s="347"/>
      <c r="B23" s="347"/>
      <c r="C23" s="347"/>
      <c r="D23" s="348"/>
      <c r="E23" s="349"/>
      <c r="F23" s="350"/>
      <c r="G23" s="349"/>
      <c r="H23" s="350"/>
      <c r="I23" s="349"/>
      <c r="J23" s="350"/>
      <c r="K23" s="349"/>
      <c r="L23" s="350"/>
      <c r="M23" s="349"/>
      <c r="N23" s="349"/>
      <c r="O23" s="349"/>
      <c r="P23" s="349"/>
      <c r="Q23" s="351"/>
      <c r="R23" s="349"/>
      <c r="S23" s="349"/>
      <c r="U23" s="264"/>
      <c r="AB23" s="265"/>
      <c r="AF23" s="265"/>
      <c r="AM23" s="266"/>
      <c r="AQ23" s="266"/>
    </row>
    <row r="24" spans="1:45" s="262" customFormat="1" x14ac:dyDescent="0.25">
      <c r="A24" s="347"/>
      <c r="B24" s="347"/>
      <c r="C24" s="347"/>
      <c r="D24" s="348"/>
      <c r="E24" s="349"/>
      <c r="F24" s="350"/>
      <c r="G24" s="349"/>
      <c r="H24" s="350"/>
      <c r="I24" s="349"/>
      <c r="J24" s="350"/>
      <c r="K24" s="349"/>
      <c r="L24" s="350"/>
      <c r="M24" s="349"/>
      <c r="N24" s="349"/>
      <c r="O24" s="349"/>
      <c r="P24" s="349"/>
      <c r="Q24" s="351"/>
      <c r="R24" s="349"/>
      <c r="S24" s="349"/>
      <c r="U24" s="264"/>
      <c r="AB24" s="265"/>
      <c r="AF24" s="265"/>
      <c r="AM24" s="266"/>
      <c r="AQ24" s="266"/>
    </row>
    <row r="25" spans="1:45" s="262" customFormat="1" x14ac:dyDescent="0.25">
      <c r="A25" s="347"/>
      <c r="B25" s="347"/>
      <c r="C25" s="347"/>
      <c r="D25" s="348"/>
      <c r="E25" s="349"/>
      <c r="F25" s="350"/>
      <c r="G25" s="349"/>
      <c r="H25" s="350"/>
      <c r="I25" s="349"/>
      <c r="J25" s="350"/>
      <c r="K25" s="349"/>
      <c r="L25" s="350"/>
      <c r="M25" s="349"/>
      <c r="N25" s="349"/>
      <c r="O25" s="352"/>
      <c r="P25" s="349"/>
      <c r="Q25" s="351"/>
      <c r="R25" s="349"/>
      <c r="S25" s="349"/>
      <c r="U25" s="264"/>
      <c r="AB25" s="265"/>
      <c r="AF25" s="265"/>
      <c r="AM25" s="266"/>
      <c r="AQ25" s="266"/>
    </row>
    <row r="26" spans="1:45" s="262" customFormat="1" x14ac:dyDescent="0.25">
      <c r="A26" s="347"/>
      <c r="B26" s="353"/>
      <c r="C26" s="354"/>
      <c r="D26" s="355"/>
      <c r="E26" s="356"/>
      <c r="F26" s="206"/>
      <c r="G26" s="204"/>
      <c r="H26" s="350"/>
      <c r="I26" s="349"/>
      <c r="J26" s="350"/>
      <c r="K26" s="349"/>
      <c r="L26" s="350"/>
      <c r="M26" s="349"/>
      <c r="N26" s="349"/>
      <c r="O26" s="352"/>
      <c r="P26" s="349"/>
      <c r="Q26" s="351"/>
      <c r="R26" s="349"/>
      <c r="S26" s="349"/>
      <c r="U26" s="264"/>
      <c r="AB26" s="265"/>
      <c r="AF26" s="265"/>
      <c r="AM26" s="266"/>
      <c r="AQ26" s="266"/>
    </row>
    <row r="27" spans="1:45" s="262" customFormat="1" x14ac:dyDescent="0.25">
      <c r="A27" s="347"/>
      <c r="B27" s="353"/>
      <c r="C27" s="354"/>
      <c r="D27" s="355"/>
      <c r="E27" s="356"/>
      <c r="F27" s="206"/>
      <c r="G27" s="204"/>
      <c r="H27" s="350"/>
      <c r="I27" s="349"/>
      <c r="J27" s="350"/>
      <c r="K27" s="349"/>
      <c r="L27" s="350"/>
      <c r="M27" s="349"/>
      <c r="N27" s="349"/>
      <c r="O27" s="349"/>
      <c r="P27" s="349"/>
      <c r="Q27" s="351"/>
      <c r="R27" s="349"/>
      <c r="S27" s="349"/>
      <c r="U27" s="264"/>
      <c r="V27" s="267"/>
      <c r="AB27" s="265"/>
      <c r="AF27" s="265"/>
      <c r="AM27" s="266"/>
      <c r="AQ27" s="266"/>
    </row>
    <row r="28" spans="1:45" s="262" customFormat="1" x14ac:dyDescent="0.25">
      <c r="A28" s="347"/>
      <c r="B28" s="204"/>
      <c r="C28" s="354"/>
      <c r="D28" s="355"/>
      <c r="E28" s="356"/>
      <c r="F28" s="206"/>
      <c r="G28" s="204"/>
      <c r="H28" s="350"/>
      <c r="I28" s="349"/>
      <c r="J28" s="350"/>
      <c r="K28" s="349"/>
      <c r="L28" s="350"/>
      <c r="M28" s="349"/>
      <c r="N28" s="349"/>
      <c r="O28" s="349"/>
      <c r="P28" s="349"/>
      <c r="Q28" s="351"/>
      <c r="R28" s="349"/>
      <c r="S28" s="349"/>
      <c r="U28" s="264"/>
      <c r="V28" s="267"/>
      <c r="AB28" s="265"/>
      <c r="AF28" s="265"/>
      <c r="AM28" s="266"/>
      <c r="AQ28" s="266"/>
    </row>
    <row r="29" spans="1:45" s="262" customFormat="1" x14ac:dyDescent="0.25">
      <c r="A29" s="347"/>
      <c r="B29" s="354"/>
      <c r="C29" s="354"/>
      <c r="D29" s="355"/>
      <c r="E29" s="356"/>
      <c r="F29" s="206"/>
      <c r="G29" s="204"/>
      <c r="H29" s="350"/>
      <c r="I29" s="349"/>
      <c r="J29" s="350"/>
      <c r="K29" s="349"/>
      <c r="L29" s="350"/>
      <c r="M29" s="349"/>
      <c r="N29" s="349"/>
      <c r="O29" s="349"/>
      <c r="P29" s="349"/>
      <c r="Q29" s="351"/>
      <c r="R29" s="349"/>
      <c r="S29" s="349"/>
      <c r="U29" s="264"/>
      <c r="V29" s="267"/>
      <c r="AB29" s="265"/>
      <c r="AF29" s="265"/>
      <c r="AM29" s="266"/>
      <c r="AQ29" s="266"/>
    </row>
    <row r="30" spans="1:45" s="262" customFormat="1" x14ac:dyDescent="0.25">
      <c r="A30" s="347"/>
      <c r="B30" s="354"/>
      <c r="C30" s="354"/>
      <c r="D30" s="355"/>
      <c r="E30" s="356"/>
      <c r="F30" s="206"/>
      <c r="G30" s="204"/>
      <c r="H30" s="350"/>
      <c r="I30" s="349"/>
      <c r="J30" s="350"/>
      <c r="K30" s="349"/>
      <c r="L30" s="350"/>
      <c r="M30" s="349"/>
      <c r="N30" s="349"/>
      <c r="O30" s="349"/>
      <c r="P30" s="349"/>
      <c r="Q30" s="351"/>
      <c r="R30" s="349"/>
      <c r="S30" s="349"/>
      <c r="U30" s="264"/>
      <c r="AB30" s="265"/>
      <c r="AF30" s="265"/>
      <c r="AM30" s="266"/>
      <c r="AQ30" s="266"/>
    </row>
    <row r="31" spans="1:45" s="262" customFormat="1" x14ac:dyDescent="0.25">
      <c r="A31" s="347"/>
      <c r="B31" s="354"/>
      <c r="C31" s="354"/>
      <c r="D31" s="355"/>
      <c r="E31" s="356"/>
      <c r="F31" s="206"/>
      <c r="G31" s="204"/>
      <c r="H31" s="350"/>
      <c r="I31" s="349"/>
      <c r="J31" s="350"/>
      <c r="K31" s="349"/>
      <c r="L31" s="350"/>
      <c r="M31" s="349"/>
      <c r="N31" s="349"/>
      <c r="O31" s="349"/>
      <c r="P31" s="349"/>
      <c r="Q31" s="351"/>
      <c r="R31" s="349"/>
      <c r="S31" s="349"/>
      <c r="U31" s="264"/>
      <c r="AB31" s="265"/>
      <c r="AF31" s="265"/>
      <c r="AM31" s="266"/>
      <c r="AQ31" s="266"/>
    </row>
    <row r="32" spans="1:45" s="262" customFormat="1" x14ac:dyDescent="0.25">
      <c r="A32" s="347"/>
      <c r="B32" s="354"/>
      <c r="C32" s="354"/>
      <c r="D32" s="355"/>
      <c r="E32" s="356"/>
      <c r="F32" s="206"/>
      <c r="G32" s="204"/>
      <c r="H32" s="350"/>
      <c r="I32" s="349"/>
      <c r="J32" s="350"/>
      <c r="K32" s="349"/>
      <c r="L32" s="350"/>
      <c r="M32" s="349"/>
      <c r="N32" s="349"/>
      <c r="O32" s="349"/>
      <c r="P32" s="349"/>
      <c r="Q32" s="351"/>
      <c r="R32" s="349"/>
      <c r="S32" s="349"/>
      <c r="U32" s="264"/>
      <c r="AB32" s="265"/>
      <c r="AF32" s="265"/>
      <c r="AM32" s="266"/>
      <c r="AQ32" s="266"/>
    </row>
    <row r="33" spans="1:43" s="262" customFormat="1" x14ac:dyDescent="0.25">
      <c r="A33" s="347"/>
      <c r="B33" s="354"/>
      <c r="C33" s="354"/>
      <c r="D33" s="355"/>
      <c r="E33" s="356"/>
      <c r="F33" s="206"/>
      <c r="G33" s="204"/>
      <c r="H33" s="350"/>
      <c r="I33" s="349"/>
      <c r="J33" s="350"/>
      <c r="K33" s="349"/>
      <c r="L33" s="350"/>
      <c r="M33" s="349"/>
      <c r="N33" s="349"/>
      <c r="O33" s="349"/>
      <c r="P33" s="349"/>
      <c r="Q33" s="351"/>
      <c r="R33" s="349"/>
      <c r="S33" s="349"/>
      <c r="U33" s="264"/>
      <c r="AB33" s="265"/>
      <c r="AF33" s="265"/>
      <c r="AM33" s="266"/>
      <c r="AQ33" s="266"/>
    </row>
    <row r="34" spans="1:43" s="262" customFormat="1" x14ac:dyDescent="0.25">
      <c r="A34" s="347"/>
      <c r="B34" s="354"/>
      <c r="C34" s="354"/>
      <c r="D34" s="355"/>
      <c r="E34" s="356"/>
      <c r="F34" s="206"/>
      <c r="G34" s="204"/>
      <c r="H34" s="350"/>
      <c r="I34" s="349"/>
      <c r="J34" s="350"/>
      <c r="K34" s="349"/>
      <c r="L34" s="350"/>
      <c r="M34" s="349"/>
      <c r="N34" s="349"/>
      <c r="O34" s="349"/>
      <c r="P34" s="349"/>
      <c r="Q34" s="351"/>
      <c r="R34" s="349"/>
      <c r="S34" s="349"/>
      <c r="U34" s="264"/>
      <c r="AB34" s="265"/>
      <c r="AF34" s="265"/>
      <c r="AM34" s="266"/>
      <c r="AQ34" s="266"/>
    </row>
    <row r="35" spans="1:43" s="262" customFormat="1" x14ac:dyDescent="0.25">
      <c r="A35" s="347"/>
      <c r="B35" s="354"/>
      <c r="C35" s="354"/>
      <c r="D35" s="355"/>
      <c r="E35" s="356"/>
      <c r="F35" s="206"/>
      <c r="G35" s="204"/>
      <c r="H35" s="350"/>
      <c r="I35" s="349"/>
      <c r="J35" s="350"/>
      <c r="K35" s="349"/>
      <c r="L35" s="350"/>
      <c r="M35" s="349"/>
      <c r="N35" s="349"/>
      <c r="O35" s="349"/>
      <c r="P35" s="349"/>
      <c r="Q35" s="351"/>
      <c r="R35" s="349"/>
      <c r="S35" s="349"/>
      <c r="U35" s="264"/>
      <c r="AB35" s="265"/>
      <c r="AF35" s="265"/>
      <c r="AM35" s="266"/>
      <c r="AQ35" s="266"/>
    </row>
    <row r="36" spans="1:43" s="262" customFormat="1" x14ac:dyDescent="0.25">
      <c r="A36" s="347"/>
      <c r="B36" s="354"/>
      <c r="C36" s="354"/>
      <c r="D36" s="355"/>
      <c r="E36" s="356"/>
      <c r="F36" s="206"/>
      <c r="G36" s="204"/>
      <c r="H36" s="350"/>
      <c r="I36" s="349"/>
      <c r="J36" s="350"/>
      <c r="K36" s="349"/>
      <c r="L36" s="350"/>
      <c r="M36" s="349"/>
      <c r="N36" s="349"/>
      <c r="O36" s="349"/>
      <c r="P36" s="349"/>
      <c r="Q36" s="351"/>
      <c r="R36" s="349"/>
      <c r="S36" s="349"/>
      <c r="U36" s="264"/>
      <c r="AB36" s="265"/>
      <c r="AF36" s="265"/>
      <c r="AM36" s="266"/>
      <c r="AQ36" s="266"/>
    </row>
    <row r="37" spans="1:43" s="262" customFormat="1" x14ac:dyDescent="0.25">
      <c r="A37" s="347"/>
      <c r="B37" s="354"/>
      <c r="C37" s="354"/>
      <c r="D37" s="355"/>
      <c r="E37" s="356"/>
      <c r="F37" s="206"/>
      <c r="G37" s="204"/>
      <c r="H37" s="350"/>
      <c r="I37" s="349"/>
      <c r="J37" s="350"/>
      <c r="K37" s="349"/>
      <c r="L37" s="350"/>
      <c r="M37" s="349"/>
      <c r="N37" s="349"/>
      <c r="O37" s="349"/>
      <c r="P37" s="349"/>
      <c r="Q37" s="351"/>
      <c r="R37" s="349"/>
      <c r="S37" s="349"/>
      <c r="U37" s="264"/>
      <c r="AB37" s="265"/>
      <c r="AF37" s="265"/>
      <c r="AM37" s="266"/>
      <c r="AQ37" s="266"/>
    </row>
    <row r="38" spans="1:43" s="262" customFormat="1" x14ac:dyDescent="0.25">
      <c r="A38" s="347"/>
      <c r="B38" s="354"/>
      <c r="C38" s="354"/>
      <c r="D38" s="355"/>
      <c r="E38" s="356"/>
      <c r="F38" s="206"/>
      <c r="G38" s="204"/>
      <c r="H38" s="350"/>
      <c r="I38" s="349"/>
      <c r="J38" s="350"/>
      <c r="K38" s="349"/>
      <c r="L38" s="350"/>
      <c r="M38" s="349"/>
      <c r="N38" s="349"/>
      <c r="O38" s="349"/>
      <c r="P38" s="349"/>
      <c r="Q38" s="351"/>
      <c r="R38" s="349"/>
      <c r="S38" s="349"/>
      <c r="U38" s="264"/>
      <c r="AB38" s="265"/>
      <c r="AF38" s="265"/>
      <c r="AM38" s="266"/>
      <c r="AQ38" s="266"/>
    </row>
    <row r="39" spans="1:43" s="262" customFormat="1" x14ac:dyDescent="0.25">
      <c r="A39" s="347"/>
      <c r="B39" s="354"/>
      <c r="C39" s="354"/>
      <c r="D39" s="355"/>
      <c r="E39" s="356"/>
      <c r="F39" s="206"/>
      <c r="G39" s="204"/>
      <c r="H39" s="350"/>
      <c r="I39" s="349"/>
      <c r="J39" s="350"/>
      <c r="K39" s="349"/>
      <c r="L39" s="350"/>
      <c r="M39" s="349"/>
      <c r="N39" s="349"/>
      <c r="O39" s="349"/>
      <c r="P39" s="349"/>
      <c r="Q39" s="351"/>
      <c r="R39" s="349"/>
      <c r="S39" s="349"/>
      <c r="U39" s="264"/>
      <c r="AB39" s="265"/>
      <c r="AF39" s="265"/>
      <c r="AM39" s="266"/>
      <c r="AQ39" s="266"/>
    </row>
    <row r="40" spans="1:43" s="262" customFormat="1" x14ac:dyDescent="0.25">
      <c r="A40" s="347"/>
      <c r="B40" s="354"/>
      <c r="C40" s="354"/>
      <c r="D40" s="355"/>
      <c r="E40" s="356"/>
      <c r="F40" s="206"/>
      <c r="G40" s="204"/>
      <c r="H40" s="350"/>
      <c r="I40" s="349"/>
      <c r="J40" s="350"/>
      <c r="K40" s="349"/>
      <c r="L40" s="350"/>
      <c r="M40" s="349"/>
      <c r="N40" s="349"/>
      <c r="O40" s="349"/>
      <c r="P40" s="349"/>
      <c r="Q40" s="351"/>
      <c r="R40" s="349"/>
      <c r="S40" s="349"/>
      <c r="U40" s="264"/>
      <c r="AB40" s="265"/>
      <c r="AF40" s="265"/>
      <c r="AM40" s="266"/>
      <c r="AQ40" s="266"/>
    </row>
    <row r="41" spans="1:43" s="262" customFormat="1" x14ac:dyDescent="0.25">
      <c r="A41" s="347"/>
      <c r="B41" s="354"/>
      <c r="C41" s="354"/>
      <c r="D41" s="355"/>
      <c r="E41" s="356"/>
      <c r="F41" s="206"/>
      <c r="G41" s="204"/>
      <c r="H41" s="350"/>
      <c r="I41" s="349"/>
      <c r="J41" s="350"/>
      <c r="K41" s="349"/>
      <c r="L41" s="350"/>
      <c r="M41" s="349"/>
      <c r="N41" s="349"/>
      <c r="O41" s="349"/>
      <c r="P41" s="349"/>
      <c r="Q41" s="351"/>
      <c r="R41" s="349"/>
      <c r="S41" s="349"/>
      <c r="U41" s="264"/>
      <c r="AB41" s="265"/>
      <c r="AF41" s="265"/>
      <c r="AM41" s="266"/>
      <c r="AQ41" s="266"/>
    </row>
    <row r="42" spans="1:43" x14ac:dyDescent="0.25">
      <c r="A42" s="357"/>
      <c r="B42" s="358"/>
      <c r="C42" s="354"/>
      <c r="D42" s="359"/>
      <c r="E42" s="356"/>
      <c r="F42" s="206"/>
      <c r="G42" s="297"/>
      <c r="H42" s="360"/>
      <c r="I42" s="343"/>
      <c r="J42" s="350"/>
      <c r="K42" s="343"/>
      <c r="L42" s="360"/>
      <c r="M42" s="343"/>
      <c r="N42" s="343"/>
      <c r="O42" s="343"/>
      <c r="P42" s="343"/>
      <c r="Q42" s="351"/>
      <c r="R42" s="343"/>
      <c r="S42" s="343"/>
    </row>
    <row r="43" spans="1:43" x14ac:dyDescent="0.25">
      <c r="A43" s="357"/>
      <c r="B43" s="358"/>
      <c r="C43" s="358"/>
      <c r="D43" s="359"/>
      <c r="E43" s="297"/>
      <c r="F43" s="206"/>
      <c r="G43" s="297"/>
      <c r="H43" s="360"/>
      <c r="I43" s="343"/>
      <c r="J43" s="350"/>
      <c r="K43" s="343"/>
      <c r="L43" s="360"/>
      <c r="M43" s="343"/>
      <c r="N43" s="343"/>
      <c r="O43" s="343"/>
      <c r="P43" s="343"/>
      <c r="Q43" s="351"/>
      <c r="R43" s="343"/>
      <c r="S43" s="343"/>
    </row>
    <row r="44" spans="1:43" x14ac:dyDescent="0.25">
      <c r="A44" s="357"/>
      <c r="B44" s="357"/>
      <c r="C44" s="357"/>
      <c r="D44" s="361"/>
      <c r="E44" s="343"/>
      <c r="F44" s="350"/>
      <c r="G44" s="343"/>
      <c r="H44" s="360"/>
      <c r="I44" s="343"/>
      <c r="J44" s="350"/>
      <c r="K44" s="343"/>
      <c r="L44" s="360"/>
      <c r="M44" s="343"/>
      <c r="N44" s="343"/>
      <c r="O44" s="343"/>
      <c r="P44" s="343"/>
      <c r="Q44" s="351"/>
      <c r="R44" s="343"/>
      <c r="S44" s="343"/>
    </row>
    <row r="45" spans="1:43" x14ac:dyDescent="0.25">
      <c r="A45" s="357"/>
      <c r="B45" s="357"/>
      <c r="C45" s="357"/>
      <c r="D45" s="361"/>
      <c r="E45" s="343"/>
      <c r="F45" s="350"/>
      <c r="G45" s="343"/>
      <c r="H45" s="360"/>
      <c r="I45" s="343"/>
      <c r="J45" s="350"/>
      <c r="K45" s="343"/>
      <c r="L45" s="360"/>
      <c r="M45" s="343"/>
      <c r="N45" s="343"/>
      <c r="O45" s="343"/>
      <c r="P45" s="343"/>
      <c r="Q45" s="351"/>
      <c r="R45" s="343"/>
      <c r="S45" s="343"/>
    </row>
    <row r="46" spans="1:43" x14ac:dyDescent="0.25">
      <c r="A46" s="357"/>
      <c r="B46" s="357"/>
      <c r="C46" s="357"/>
      <c r="D46" s="361"/>
      <c r="E46" s="343"/>
      <c r="F46" s="350"/>
      <c r="G46" s="343"/>
      <c r="H46" s="360"/>
      <c r="I46" s="343"/>
      <c r="J46" s="350"/>
      <c r="K46" s="343"/>
      <c r="L46" s="360"/>
      <c r="M46" s="343"/>
      <c r="N46" s="343"/>
      <c r="O46" s="343"/>
      <c r="P46" s="343"/>
      <c r="Q46" s="351"/>
      <c r="R46" s="343"/>
      <c r="S46" s="343"/>
    </row>
    <row r="47" spans="1:43" x14ac:dyDescent="0.25">
      <c r="A47" s="357"/>
      <c r="B47" s="357"/>
      <c r="C47" s="357"/>
      <c r="D47" s="361"/>
      <c r="E47" s="343"/>
      <c r="F47" s="350"/>
      <c r="G47" s="343"/>
      <c r="H47" s="360"/>
      <c r="I47" s="343"/>
      <c r="J47" s="350"/>
      <c r="K47" s="343"/>
      <c r="L47" s="360"/>
      <c r="M47" s="343"/>
      <c r="N47" s="343"/>
      <c r="O47" s="343"/>
      <c r="P47" s="343"/>
      <c r="Q47" s="351"/>
      <c r="R47" s="343"/>
      <c r="S47" s="343"/>
    </row>
    <row r="48" spans="1:43" x14ac:dyDescent="0.25">
      <c r="A48" s="357"/>
      <c r="B48" s="357"/>
      <c r="C48" s="357"/>
      <c r="D48" s="361"/>
      <c r="E48" s="343"/>
      <c r="F48" s="350"/>
      <c r="G48" s="343"/>
      <c r="H48" s="360"/>
      <c r="I48" s="343"/>
      <c r="J48" s="350"/>
      <c r="K48" s="343"/>
      <c r="L48" s="360"/>
      <c r="M48" s="343"/>
      <c r="N48" s="343"/>
      <c r="O48" s="343"/>
      <c r="P48" s="343"/>
      <c r="Q48" s="351"/>
      <c r="R48" s="343"/>
      <c r="S48" s="343"/>
    </row>
    <row r="49" spans="1:19" x14ac:dyDescent="0.25">
      <c r="A49" s="357"/>
      <c r="B49" s="357"/>
      <c r="C49" s="357"/>
      <c r="D49" s="361"/>
      <c r="E49" s="343"/>
      <c r="F49" s="350"/>
      <c r="G49" s="343"/>
      <c r="H49" s="360"/>
      <c r="I49" s="343"/>
      <c r="J49" s="350"/>
      <c r="K49" s="343"/>
      <c r="L49" s="360"/>
      <c r="M49" s="343"/>
      <c r="N49" s="343"/>
      <c r="O49" s="343"/>
      <c r="P49" s="343"/>
      <c r="Q49" s="351"/>
      <c r="R49" s="343"/>
      <c r="S49" s="343"/>
    </row>
    <row r="50" spans="1:19" x14ac:dyDescent="0.25">
      <c r="A50" s="357"/>
      <c r="B50" s="357"/>
      <c r="C50" s="357"/>
      <c r="D50" s="361"/>
      <c r="E50" s="343"/>
      <c r="F50" s="350"/>
      <c r="G50" s="343"/>
      <c r="H50" s="360"/>
      <c r="I50" s="343"/>
      <c r="J50" s="350"/>
      <c r="K50" s="343"/>
      <c r="L50" s="360"/>
      <c r="M50" s="343"/>
      <c r="N50" s="343"/>
      <c r="O50" s="343"/>
      <c r="P50" s="343"/>
      <c r="Q50" s="351"/>
      <c r="R50" s="343"/>
      <c r="S50" s="343"/>
    </row>
    <row r="51" spans="1:19" x14ac:dyDescent="0.25">
      <c r="A51" s="357"/>
      <c r="B51" s="357"/>
      <c r="C51" s="357"/>
      <c r="D51" s="361"/>
      <c r="E51" s="343"/>
      <c r="F51" s="350"/>
      <c r="G51" s="343"/>
      <c r="H51" s="360"/>
      <c r="I51" s="343"/>
      <c r="J51" s="350"/>
      <c r="K51" s="343"/>
      <c r="L51" s="360"/>
      <c r="M51" s="343"/>
      <c r="N51" s="343"/>
      <c r="O51" s="343"/>
      <c r="P51" s="343"/>
      <c r="Q51" s="351"/>
      <c r="R51" s="343"/>
      <c r="S51" s="343"/>
    </row>
    <row r="52" spans="1:19" x14ac:dyDescent="0.25">
      <c r="A52" s="357"/>
      <c r="B52" s="357"/>
      <c r="C52" s="357"/>
      <c r="D52" s="361"/>
      <c r="E52" s="343"/>
      <c r="F52" s="350"/>
      <c r="G52" s="343"/>
      <c r="H52" s="360"/>
      <c r="I52" s="343"/>
      <c r="J52" s="350"/>
      <c r="K52" s="343"/>
      <c r="L52" s="360"/>
      <c r="M52" s="343"/>
      <c r="N52" s="343"/>
      <c r="O52" s="343"/>
      <c r="P52" s="343"/>
      <c r="Q52" s="351"/>
      <c r="R52" s="343"/>
      <c r="S52" s="343"/>
    </row>
    <row r="53" spans="1:19" x14ac:dyDescent="0.25">
      <c r="A53" s="357"/>
      <c r="B53" s="357"/>
      <c r="C53" s="357"/>
      <c r="D53" s="361"/>
      <c r="E53" s="343"/>
      <c r="F53" s="350"/>
      <c r="G53" s="343"/>
      <c r="H53" s="360"/>
      <c r="I53" s="343"/>
      <c r="J53" s="350"/>
      <c r="K53" s="343"/>
      <c r="L53" s="360"/>
      <c r="M53" s="343"/>
      <c r="N53" s="343"/>
      <c r="O53" s="343"/>
      <c r="P53" s="343"/>
      <c r="Q53" s="351"/>
      <c r="R53" s="343"/>
      <c r="S53" s="343"/>
    </row>
    <row r="54" spans="1:19" x14ac:dyDescent="0.25">
      <c r="A54" s="357"/>
      <c r="B54" s="357"/>
      <c r="C54" s="357"/>
      <c r="D54" s="361"/>
      <c r="E54" s="343"/>
      <c r="F54" s="350"/>
      <c r="G54" s="343"/>
      <c r="H54" s="360"/>
      <c r="I54" s="343"/>
      <c r="J54" s="350"/>
      <c r="K54" s="343"/>
      <c r="L54" s="360"/>
      <c r="M54" s="343"/>
      <c r="N54" s="343"/>
      <c r="O54" s="343"/>
      <c r="P54" s="343"/>
      <c r="Q54" s="351"/>
      <c r="R54" s="343"/>
      <c r="S54" s="343"/>
    </row>
    <row r="55" spans="1:19" x14ac:dyDescent="0.25">
      <c r="A55" s="357"/>
      <c r="B55" s="357"/>
      <c r="C55" s="357"/>
      <c r="D55" s="361"/>
      <c r="E55" s="343"/>
      <c r="F55" s="350"/>
      <c r="G55" s="343"/>
      <c r="H55" s="360"/>
      <c r="I55" s="343"/>
      <c r="J55" s="350"/>
      <c r="K55" s="343"/>
      <c r="L55" s="360"/>
      <c r="M55" s="343"/>
      <c r="N55" s="343"/>
      <c r="O55" s="343"/>
      <c r="P55" s="343"/>
      <c r="Q55" s="351"/>
      <c r="R55" s="343"/>
      <c r="S55" s="343"/>
    </row>
    <row r="56" spans="1:19" x14ac:dyDescent="0.25">
      <c r="A56" s="357"/>
      <c r="B56" s="357"/>
      <c r="C56" s="357"/>
      <c r="D56" s="361"/>
      <c r="E56" s="343"/>
      <c r="F56" s="350"/>
      <c r="G56" s="343"/>
      <c r="H56" s="360"/>
      <c r="I56" s="343"/>
      <c r="J56" s="350"/>
      <c r="K56" s="343"/>
      <c r="L56" s="360"/>
      <c r="M56" s="343"/>
      <c r="N56" s="343"/>
      <c r="O56" s="343"/>
      <c r="P56" s="343"/>
      <c r="Q56" s="351"/>
      <c r="R56" s="343"/>
      <c r="S56" s="343"/>
    </row>
    <row r="57" spans="1:19" x14ac:dyDescent="0.25">
      <c r="A57" s="357"/>
      <c r="B57" s="357"/>
      <c r="C57" s="357"/>
      <c r="D57" s="361"/>
      <c r="E57" s="343"/>
      <c r="F57" s="350"/>
      <c r="G57" s="343"/>
      <c r="H57" s="360"/>
      <c r="I57" s="343"/>
      <c r="J57" s="350"/>
      <c r="K57" s="343"/>
      <c r="L57" s="360"/>
      <c r="M57" s="343"/>
      <c r="N57" s="343"/>
      <c r="O57" s="343"/>
      <c r="P57" s="343"/>
      <c r="Q57" s="351"/>
      <c r="R57" s="343"/>
      <c r="S57" s="343"/>
    </row>
    <row r="58" spans="1:19" x14ac:dyDescent="0.25">
      <c r="A58" s="357"/>
      <c r="B58" s="357"/>
      <c r="C58" s="357"/>
      <c r="D58" s="361"/>
      <c r="E58" s="343"/>
      <c r="F58" s="350"/>
      <c r="G58" s="343"/>
      <c r="H58" s="360"/>
      <c r="I58" s="343"/>
      <c r="J58" s="350"/>
      <c r="K58" s="343"/>
      <c r="L58" s="360"/>
      <c r="M58" s="343"/>
      <c r="N58" s="343"/>
      <c r="O58" s="343"/>
      <c r="P58" s="343"/>
      <c r="Q58" s="351"/>
      <c r="R58" s="343"/>
      <c r="S58" s="343"/>
    </row>
    <row r="59" spans="1:19" x14ac:dyDescent="0.25">
      <c r="A59" s="357"/>
      <c r="B59" s="357"/>
      <c r="C59" s="357"/>
      <c r="D59" s="361"/>
      <c r="E59" s="343"/>
      <c r="F59" s="350"/>
      <c r="G59" s="343"/>
      <c r="H59" s="360"/>
      <c r="I59" s="343"/>
      <c r="J59" s="350"/>
      <c r="K59" s="343"/>
      <c r="L59" s="360"/>
      <c r="M59" s="343"/>
      <c r="N59" s="343"/>
      <c r="O59" s="343"/>
      <c r="P59" s="343"/>
      <c r="Q59" s="351"/>
      <c r="R59" s="343"/>
      <c r="S59" s="343"/>
    </row>
    <row r="60" spans="1:19" x14ac:dyDescent="0.25">
      <c r="A60" s="357"/>
      <c r="B60" s="357"/>
      <c r="C60" s="357"/>
      <c r="D60" s="361"/>
      <c r="E60" s="343"/>
      <c r="F60" s="350"/>
      <c r="G60" s="343"/>
      <c r="H60" s="360"/>
      <c r="I60" s="343"/>
      <c r="J60" s="350"/>
      <c r="K60" s="343"/>
      <c r="L60" s="360"/>
      <c r="M60" s="343"/>
      <c r="N60" s="343"/>
      <c r="O60" s="343"/>
      <c r="P60" s="343"/>
      <c r="Q60" s="351"/>
      <c r="R60" s="343"/>
      <c r="S60" s="343"/>
    </row>
    <row r="61" spans="1:19" x14ac:dyDescent="0.25">
      <c r="A61" s="357"/>
      <c r="B61" s="357"/>
      <c r="C61" s="357"/>
      <c r="D61" s="361"/>
      <c r="E61" s="343"/>
      <c r="F61" s="350"/>
      <c r="G61" s="343"/>
      <c r="H61" s="360"/>
      <c r="I61" s="343"/>
      <c r="J61" s="350"/>
      <c r="K61" s="343"/>
      <c r="L61" s="360"/>
      <c r="M61" s="343"/>
      <c r="N61" s="343"/>
      <c r="O61" s="343"/>
      <c r="P61" s="343"/>
      <c r="Q61" s="351"/>
      <c r="R61" s="343"/>
      <c r="S61" s="343"/>
    </row>
    <row r="62" spans="1:19" x14ac:dyDescent="0.25">
      <c r="A62" s="357"/>
      <c r="B62" s="357"/>
      <c r="C62" s="357"/>
      <c r="D62" s="361"/>
      <c r="E62" s="343"/>
      <c r="F62" s="350"/>
      <c r="G62" s="343"/>
      <c r="H62" s="360"/>
      <c r="I62" s="343"/>
      <c r="J62" s="350"/>
      <c r="K62" s="343"/>
      <c r="L62" s="360"/>
      <c r="M62" s="343"/>
      <c r="N62" s="343"/>
      <c r="O62" s="343"/>
      <c r="P62" s="343"/>
      <c r="Q62" s="351"/>
      <c r="R62" s="343"/>
      <c r="S62" s="343"/>
    </row>
    <row r="63" spans="1:19" x14ac:dyDescent="0.25">
      <c r="A63" s="357"/>
      <c r="B63" s="357"/>
      <c r="C63" s="357"/>
      <c r="D63" s="361"/>
      <c r="E63" s="343"/>
      <c r="F63" s="350"/>
      <c r="G63" s="343"/>
      <c r="H63" s="360"/>
      <c r="I63" s="343"/>
      <c r="J63" s="350"/>
      <c r="K63" s="343"/>
      <c r="L63" s="360"/>
      <c r="M63" s="343"/>
      <c r="N63" s="343"/>
      <c r="O63" s="343"/>
      <c r="P63" s="343"/>
      <c r="Q63" s="351"/>
      <c r="R63" s="343"/>
      <c r="S63" s="343"/>
    </row>
    <row r="64" spans="1:19" x14ac:dyDescent="0.25">
      <c r="A64" s="357"/>
      <c r="B64" s="357"/>
      <c r="C64" s="357"/>
      <c r="D64" s="361"/>
      <c r="E64" s="343"/>
      <c r="F64" s="350"/>
      <c r="G64" s="343"/>
      <c r="H64" s="360"/>
      <c r="I64" s="343"/>
      <c r="J64" s="350"/>
      <c r="K64" s="343"/>
      <c r="L64" s="360"/>
      <c r="M64" s="343"/>
      <c r="N64" s="343"/>
      <c r="O64" s="343"/>
      <c r="P64" s="343"/>
      <c r="Q64" s="351"/>
      <c r="R64" s="343"/>
      <c r="S64" s="343"/>
    </row>
    <row r="65" spans="1:19" x14ac:dyDescent="0.25">
      <c r="A65" s="357"/>
      <c r="B65" s="357"/>
      <c r="C65" s="357"/>
      <c r="D65" s="361"/>
      <c r="E65" s="343"/>
      <c r="F65" s="350"/>
      <c r="G65" s="343"/>
      <c r="H65" s="360"/>
      <c r="I65" s="343"/>
      <c r="J65" s="350"/>
      <c r="K65" s="343"/>
      <c r="L65" s="360"/>
      <c r="M65" s="343"/>
      <c r="N65" s="343"/>
      <c r="O65" s="343"/>
      <c r="P65" s="343"/>
      <c r="Q65" s="351"/>
      <c r="R65" s="343"/>
      <c r="S65" s="343"/>
    </row>
    <row r="66" spans="1:19" x14ac:dyDescent="0.25">
      <c r="A66" s="357"/>
      <c r="B66" s="357"/>
      <c r="C66" s="357"/>
      <c r="D66" s="361"/>
      <c r="E66" s="343"/>
      <c r="F66" s="350"/>
      <c r="G66" s="343"/>
      <c r="H66" s="360"/>
      <c r="I66" s="343"/>
      <c r="J66" s="350"/>
      <c r="K66" s="343"/>
      <c r="L66" s="360"/>
      <c r="M66" s="343"/>
      <c r="N66" s="343"/>
      <c r="O66" s="343"/>
      <c r="P66" s="343"/>
      <c r="Q66" s="351"/>
      <c r="R66" s="343"/>
      <c r="S66" s="343"/>
    </row>
    <row r="67" spans="1:19" x14ac:dyDescent="0.25">
      <c r="A67" s="357"/>
      <c r="B67" s="357"/>
      <c r="C67" s="357"/>
      <c r="D67" s="361"/>
      <c r="E67" s="343"/>
      <c r="F67" s="350"/>
      <c r="G67" s="343"/>
      <c r="H67" s="360"/>
      <c r="I67" s="343"/>
      <c r="J67" s="350"/>
      <c r="K67" s="343"/>
      <c r="L67" s="360"/>
      <c r="M67" s="343"/>
      <c r="N67" s="343"/>
      <c r="O67" s="343"/>
      <c r="P67" s="343"/>
      <c r="Q67" s="351"/>
      <c r="R67" s="343"/>
      <c r="S67" s="343"/>
    </row>
    <row r="68" spans="1:19" x14ac:dyDescent="0.25">
      <c r="A68" s="357"/>
      <c r="B68" s="357"/>
      <c r="C68" s="357"/>
      <c r="D68" s="361"/>
      <c r="E68" s="343"/>
      <c r="F68" s="350"/>
      <c r="G68" s="343"/>
      <c r="H68" s="360"/>
      <c r="I68" s="343"/>
      <c r="J68" s="350"/>
      <c r="K68" s="343"/>
      <c r="L68" s="360"/>
      <c r="M68" s="343"/>
      <c r="N68" s="343"/>
      <c r="O68" s="343"/>
      <c r="P68" s="343"/>
      <c r="Q68" s="351"/>
      <c r="R68" s="343"/>
      <c r="S68" s="343"/>
    </row>
    <row r="69" spans="1:19" x14ac:dyDescent="0.25">
      <c r="A69" s="357"/>
      <c r="B69" s="357"/>
      <c r="C69" s="357"/>
      <c r="D69" s="361"/>
      <c r="E69" s="343"/>
      <c r="F69" s="350"/>
      <c r="G69" s="343"/>
      <c r="H69" s="360"/>
      <c r="I69" s="343"/>
      <c r="J69" s="350"/>
      <c r="K69" s="343"/>
      <c r="L69" s="360"/>
      <c r="M69" s="343"/>
      <c r="N69" s="343"/>
      <c r="O69" s="343"/>
      <c r="P69" s="343"/>
      <c r="Q69" s="351"/>
      <c r="R69" s="343"/>
      <c r="S69" s="343"/>
    </row>
    <row r="70" spans="1:19" x14ac:dyDescent="0.25">
      <c r="A70" s="357"/>
      <c r="B70" s="357"/>
      <c r="C70" s="357"/>
      <c r="D70" s="361"/>
      <c r="E70" s="343"/>
      <c r="F70" s="350"/>
      <c r="G70" s="343"/>
      <c r="H70" s="360"/>
      <c r="I70" s="343"/>
      <c r="J70" s="350"/>
      <c r="K70" s="343"/>
      <c r="L70" s="360"/>
      <c r="M70" s="343"/>
      <c r="N70" s="343"/>
      <c r="O70" s="343"/>
      <c r="P70" s="343"/>
      <c r="Q70" s="351"/>
      <c r="R70" s="343"/>
      <c r="S70" s="343"/>
    </row>
    <row r="71" spans="1:19" x14ac:dyDescent="0.25">
      <c r="A71" s="357"/>
      <c r="B71" s="357"/>
      <c r="C71" s="357"/>
      <c r="D71" s="361"/>
      <c r="E71" s="343"/>
      <c r="F71" s="350"/>
      <c r="G71" s="343"/>
      <c r="H71" s="360"/>
      <c r="I71" s="343"/>
      <c r="J71" s="350"/>
      <c r="K71" s="343"/>
      <c r="L71" s="360"/>
      <c r="M71" s="343"/>
      <c r="N71" s="343"/>
      <c r="O71" s="343"/>
      <c r="P71" s="343"/>
      <c r="Q71" s="351"/>
      <c r="R71" s="343"/>
      <c r="S71" s="343"/>
    </row>
    <row r="72" spans="1:19" x14ac:dyDescent="0.25">
      <c r="A72" s="357"/>
      <c r="B72" s="357"/>
      <c r="C72" s="357"/>
      <c r="D72" s="361"/>
      <c r="E72" s="343"/>
      <c r="F72" s="350"/>
      <c r="G72" s="343"/>
      <c r="H72" s="360"/>
      <c r="I72" s="343"/>
      <c r="J72" s="350"/>
      <c r="K72" s="343"/>
      <c r="L72" s="360"/>
      <c r="M72" s="343"/>
      <c r="N72" s="343"/>
      <c r="O72" s="343"/>
      <c r="P72" s="343"/>
      <c r="Q72" s="351"/>
      <c r="R72" s="343"/>
      <c r="S72" s="343"/>
    </row>
    <row r="73" spans="1:19" x14ac:dyDescent="0.25">
      <c r="A73" s="357"/>
      <c r="B73" s="357"/>
      <c r="C73" s="357"/>
      <c r="D73" s="361"/>
      <c r="E73" s="343"/>
      <c r="F73" s="350"/>
      <c r="G73" s="343"/>
      <c r="H73" s="360"/>
      <c r="I73" s="343"/>
      <c r="J73" s="350"/>
      <c r="K73" s="343"/>
      <c r="L73" s="360"/>
      <c r="M73" s="343"/>
      <c r="N73" s="343"/>
      <c r="O73" s="343"/>
      <c r="P73" s="343"/>
      <c r="Q73" s="351"/>
      <c r="R73" s="343"/>
      <c r="S73" s="343"/>
    </row>
    <row r="74" spans="1:19" x14ac:dyDescent="0.25">
      <c r="A74" s="357"/>
      <c r="B74" s="357"/>
      <c r="C74" s="357"/>
      <c r="D74" s="361"/>
      <c r="E74" s="343"/>
      <c r="F74" s="350"/>
      <c r="G74" s="343"/>
      <c r="H74" s="360"/>
      <c r="I74" s="343"/>
      <c r="J74" s="350"/>
      <c r="K74" s="343"/>
      <c r="L74" s="360"/>
      <c r="M74" s="343"/>
      <c r="N74" s="343"/>
      <c r="O74" s="343"/>
      <c r="P74" s="343"/>
      <c r="Q74" s="351"/>
      <c r="R74" s="343"/>
      <c r="S74" s="343"/>
    </row>
    <row r="75" spans="1:19" x14ac:dyDescent="0.25">
      <c r="A75" s="357"/>
      <c r="B75" s="357"/>
      <c r="C75" s="357"/>
      <c r="D75" s="361"/>
      <c r="E75" s="343"/>
      <c r="F75" s="350"/>
      <c r="G75" s="343"/>
      <c r="H75" s="360"/>
      <c r="I75" s="343"/>
      <c r="J75" s="350"/>
      <c r="K75" s="343"/>
      <c r="L75" s="360"/>
      <c r="M75" s="343"/>
      <c r="N75" s="343"/>
      <c r="O75" s="343"/>
      <c r="P75" s="343"/>
      <c r="Q75" s="351"/>
      <c r="R75" s="343"/>
      <c r="S75" s="343"/>
    </row>
  </sheetData>
  <autoFilter ref="A2:AS2" xr:uid="{577CD359-4FA9-4BE4-A367-58326739BE84}">
    <sortState xmlns:xlrd2="http://schemas.microsoft.com/office/spreadsheetml/2017/richdata2" ref="A3:AS21">
      <sortCondition descending="1" ref="D2"/>
    </sortState>
  </autoFilter>
  <mergeCells count="4">
    <mergeCell ref="M1:W1"/>
    <mergeCell ref="X1:AH1"/>
    <mergeCell ref="AI1:AS1"/>
    <mergeCell ref="B1:L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4" r:id="rId4" name="CheckBox1">
          <controlPr defaultSize="0" autoLine="0" r:id="rId5">
            <anchor moveWithCells="1">
              <from>
                <xdr:col>0</xdr:col>
                <xdr:colOff>123825</xdr:colOff>
                <xdr:row>25</xdr:row>
                <xdr:rowOff>19050</xdr:rowOff>
              </from>
              <to>
                <xdr:col>0</xdr:col>
                <xdr:colOff>771525</xdr:colOff>
                <xdr:row>26</xdr:row>
                <xdr:rowOff>47625</xdr:rowOff>
              </to>
            </anchor>
          </controlPr>
        </control>
      </mc:Choice>
      <mc:Fallback>
        <control shapeId="3074" r:id="rId4" name="CheckBox1"/>
      </mc:Fallback>
    </mc:AlternateContent>
    <mc:AlternateContent xmlns:mc="http://schemas.openxmlformats.org/markup-compatibility/2006">
      <mc:Choice Requires="x14">
        <control shapeId="3075" r:id="rId6" name="CheckBox2">
          <controlPr defaultSize="0" autoLine="0" r:id="rId7">
            <anchor moveWithCells="1">
              <from>
                <xdr:col>0</xdr:col>
                <xdr:colOff>114300</xdr:colOff>
                <xdr:row>27</xdr:row>
                <xdr:rowOff>95250</xdr:rowOff>
              </from>
              <to>
                <xdr:col>0</xdr:col>
                <xdr:colOff>762000</xdr:colOff>
                <xdr:row>28</xdr:row>
                <xdr:rowOff>114300</xdr:rowOff>
              </to>
            </anchor>
          </controlPr>
        </control>
      </mc:Choice>
      <mc:Fallback>
        <control shapeId="3075" r:id="rId6" name="CheckBox2"/>
      </mc:Fallback>
    </mc:AlternateContent>
    <mc:AlternateContent xmlns:mc="http://schemas.openxmlformats.org/markup-compatibility/2006">
      <mc:Choice Requires="x14">
        <control shapeId="3076" r:id="rId8" name="CheckBox3">
          <controlPr defaultSize="0" autoLine="0" r:id="rId9">
            <anchor moveWithCells="1">
              <from>
                <xdr:col>0</xdr:col>
                <xdr:colOff>114300</xdr:colOff>
                <xdr:row>29</xdr:row>
                <xdr:rowOff>171450</xdr:rowOff>
              </from>
              <to>
                <xdr:col>2</xdr:col>
                <xdr:colOff>28575</xdr:colOff>
                <xdr:row>31</xdr:row>
                <xdr:rowOff>9525</xdr:rowOff>
              </to>
            </anchor>
          </controlPr>
        </control>
      </mc:Choice>
      <mc:Fallback>
        <control shapeId="3076" r:id="rId8" name="CheckBox3"/>
      </mc:Fallback>
    </mc:AlternateContent>
    <mc:AlternateContent xmlns:mc="http://schemas.openxmlformats.org/markup-compatibility/2006">
      <mc:Choice Requires="x14">
        <control shapeId="3078" r:id="rId10" name="CheckBox4">
          <controlPr defaultSize="0" autoLine="0" r:id="rId11">
            <anchor moveWithCells="1">
              <from>
                <xdr:col>0</xdr:col>
                <xdr:colOff>104775</xdr:colOff>
                <xdr:row>32</xdr:row>
                <xdr:rowOff>76200</xdr:rowOff>
              </from>
              <to>
                <xdr:col>1</xdr:col>
                <xdr:colOff>285750</xdr:colOff>
                <xdr:row>33</xdr:row>
                <xdr:rowOff>95250</xdr:rowOff>
              </to>
            </anchor>
          </controlPr>
        </control>
      </mc:Choice>
      <mc:Fallback>
        <control shapeId="3078" r:id="rId10" name="CheckBox4"/>
      </mc:Fallback>
    </mc:AlternateContent>
    <mc:AlternateContent xmlns:mc="http://schemas.openxmlformats.org/markup-compatibility/2006">
      <mc:Choice Requires="x14">
        <control shapeId="3080" r:id="rId12" name="CheckBox6">
          <controlPr defaultSize="0" autoLine="0" r:id="rId13">
            <anchor moveWithCells="1">
              <from>
                <xdr:col>0</xdr:col>
                <xdr:colOff>95250</xdr:colOff>
                <xdr:row>34</xdr:row>
                <xdr:rowOff>142875</xdr:rowOff>
              </from>
              <to>
                <xdr:col>1</xdr:col>
                <xdr:colOff>276225</xdr:colOff>
                <xdr:row>35</xdr:row>
                <xdr:rowOff>161925</xdr:rowOff>
              </to>
            </anchor>
          </controlPr>
        </control>
      </mc:Choice>
      <mc:Fallback>
        <control shapeId="3080" r:id="rId12" name="CheckBox6"/>
      </mc:Fallback>
    </mc:AlternateContent>
    <mc:AlternateContent xmlns:mc="http://schemas.openxmlformats.org/markup-compatibility/2006">
      <mc:Choice Requires="x14">
        <control shapeId="3081" r:id="rId14" name="CheckBox7">
          <controlPr defaultSize="0" autoLine="0" r:id="rId15">
            <anchor moveWithCells="1">
              <from>
                <xdr:col>0</xdr:col>
                <xdr:colOff>95250</xdr:colOff>
                <xdr:row>37</xdr:row>
                <xdr:rowOff>28575</xdr:rowOff>
              </from>
              <to>
                <xdr:col>1</xdr:col>
                <xdr:colOff>276225</xdr:colOff>
                <xdr:row>38</xdr:row>
                <xdr:rowOff>57150</xdr:rowOff>
              </to>
            </anchor>
          </controlPr>
        </control>
      </mc:Choice>
      <mc:Fallback>
        <control shapeId="3081" r:id="rId14" name="CheckBox7"/>
      </mc:Fallback>
    </mc:AlternateContent>
    <mc:AlternateContent xmlns:mc="http://schemas.openxmlformats.org/markup-compatibility/2006">
      <mc:Choice Requires="x14">
        <control shapeId="3082" r:id="rId16" name="Button 10">
          <controlPr defaultSize="0" print="0" autoFill="0" autoPict="0" macro="[0]!Lobby_Stats">
            <anchor moveWithCells="1" sizeWithCells="1">
              <from>
                <xdr:col>0</xdr:col>
                <xdr:colOff>114300</xdr:colOff>
                <xdr:row>21</xdr:row>
                <xdr:rowOff>123825</xdr:rowOff>
              </from>
              <to>
                <xdr:col>0</xdr:col>
                <xdr:colOff>685800</xdr:colOff>
                <xdr:row>24</xdr:row>
                <xdr:rowOff>66675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103" id="{568785F6-B008-4196-B2CC-38887522C1C4}">
            <x14:colorScale>
              <x14:cfvo type="num">
                <xm:f>'Advanced Lobby Stats'!$AV$4/2</xm:f>
              </x14:cfvo>
              <x14:cfvo type="num">
                <xm:f>'Advanced Lobby Stats'!$AV$4</xm:f>
              </x14:cfvo>
              <x14:cfvo type="num">
                <xm:f>1</xm:f>
              </x14:cfvo>
              <x14:color rgb="FFF8696B"/>
              <x14:color rgb="FFFFEB84"/>
              <x14:color rgb="FF63BE7B"/>
            </x14:colorScale>
          </x14:cfRule>
          <xm:sqref>H3:H1048576 S3:S1048576 AO3:AO1048576 AD3:AD1048576</xm:sqref>
        </x14:conditionalFormatting>
        <x14:conditionalFormatting xmlns:xm="http://schemas.microsoft.com/office/excel/2006/main">
          <x14:cfRule type="colorScale" priority="107" id="{5982E912-7A6C-4763-BE1C-5E6BBACB10C0}">
            <x14:colorScale>
              <x14:cfvo type="num">
                <xm:f>0</xm:f>
              </x14:cfvo>
              <x14:cfvo type="num">
                <xm:f>'Advanced Lobby Stats'!$AV$5</xm:f>
              </x14:cfvo>
              <x14:cfvo type="num">
                <xm:f>'Advanced Lobby Stats'!$AV$5*2</xm:f>
              </x14:cfvo>
              <x14:color rgb="FFF8696B"/>
              <x14:color rgb="FFFFEB84"/>
              <x14:color rgb="FF63BE7B"/>
            </x14:colorScale>
          </x14:cfRule>
          <xm:sqref>L3:L1048576 W3:W1048576 AH3:AH1048576 AS3:AS1048576</xm:sqref>
        </x14:conditionalFormatting>
        <x14:conditionalFormatting xmlns:xm="http://schemas.microsoft.com/office/excel/2006/main">
          <x14:cfRule type="colorScale" priority="111" id="{E558AEEF-9B8F-4D7B-8C5C-3101EA4CEFF9}">
            <x14:colorScale>
              <x14:cfvo type="num">
                <xm:f>0</xm:f>
              </x14:cfvo>
              <x14:cfvo type="num">
                <xm:f>'Advanced Lobby Stats'!$AV$3</xm:f>
              </x14:cfvo>
              <x14:cfvo type="num">
                <xm:f>1</xm:f>
              </x14:cfvo>
              <x14:color rgb="FFF8696B"/>
              <x14:color rgb="FFFFEB84"/>
              <x14:color rgb="FF63BE7B"/>
            </x14:colorScale>
          </x14:cfRule>
          <xm:sqref>D3:D21 O3:O21 AK3:AK21 Z3:Z21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F8126-779A-4A67-93C2-85F89B12F004}">
  <sheetPr codeName="Sheet4"/>
  <dimension ref="A1:S205"/>
  <sheetViews>
    <sheetView showGridLines="0" zoomScaleNormal="100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H78" sqref="H78"/>
    </sheetView>
  </sheetViews>
  <sheetFormatPr defaultRowHeight="15" x14ac:dyDescent="0.25"/>
  <cols>
    <col min="1" max="2" width="15" style="283" bestFit="1" customWidth="1"/>
    <col min="3" max="3" width="11.7109375" style="293" bestFit="1" customWidth="1"/>
    <col min="4" max="4" width="10.140625" style="293" bestFit="1" customWidth="1"/>
    <col min="5" max="5" width="11.28515625" style="288" bestFit="1" customWidth="1"/>
    <col min="6" max="6" width="10.5703125" style="289" bestFit="1" customWidth="1"/>
    <col min="7" max="7" width="9.140625" style="289" bestFit="1" customWidth="1"/>
    <col min="8" max="8" width="10.140625" style="290" bestFit="1" customWidth="1"/>
    <col min="9" max="9" width="10.5703125" style="291" bestFit="1" customWidth="1"/>
    <col min="10" max="10" width="9.140625" style="291" bestFit="1" customWidth="1"/>
    <col min="11" max="11" width="10.140625" style="290" bestFit="1" customWidth="1"/>
    <col min="12" max="12" width="10.5703125" style="292" bestFit="1" customWidth="1"/>
    <col min="13" max="13" width="9.140625" style="292" bestFit="1" customWidth="1"/>
    <col min="14" max="14" width="10.140625" style="290" bestFit="1" customWidth="1"/>
    <col min="15" max="16384" width="9.140625" style="271"/>
  </cols>
  <sheetData>
    <row r="1" spans="1:19" s="312" customFormat="1" ht="24" customHeight="1" x14ac:dyDescent="0.25">
      <c r="A1" s="374" t="s">
        <v>72</v>
      </c>
      <c r="B1" s="375"/>
      <c r="C1" s="376" t="s">
        <v>42</v>
      </c>
      <c r="D1" s="377"/>
      <c r="E1" s="378"/>
      <c r="F1" s="379" t="s">
        <v>22</v>
      </c>
      <c r="G1" s="379"/>
      <c r="H1" s="379"/>
      <c r="I1" s="380" t="s">
        <v>19</v>
      </c>
      <c r="J1" s="380"/>
      <c r="K1" s="380"/>
      <c r="L1" s="381" t="s">
        <v>24</v>
      </c>
      <c r="M1" s="381"/>
      <c r="N1" s="382"/>
    </row>
    <row r="2" spans="1:19" ht="24" customHeight="1" x14ac:dyDescent="0.25">
      <c r="A2" s="336" t="s">
        <v>10</v>
      </c>
      <c r="B2" s="319" t="s">
        <v>9</v>
      </c>
      <c r="C2" s="211" t="s">
        <v>29</v>
      </c>
      <c r="D2" s="212" t="s">
        <v>30</v>
      </c>
      <c r="E2" s="213" t="s">
        <v>31</v>
      </c>
      <c r="F2" s="320" t="s">
        <v>29</v>
      </c>
      <c r="G2" s="320" t="s">
        <v>30</v>
      </c>
      <c r="H2" s="320" t="s">
        <v>31</v>
      </c>
      <c r="I2" s="321" t="s">
        <v>29</v>
      </c>
      <c r="J2" s="321" t="s">
        <v>30</v>
      </c>
      <c r="K2" s="321" t="s">
        <v>31</v>
      </c>
      <c r="L2" s="322" t="s">
        <v>29</v>
      </c>
      <c r="M2" s="322" t="s">
        <v>30</v>
      </c>
      <c r="N2" s="337" t="s">
        <v>31</v>
      </c>
    </row>
    <row r="3" spans="1:19" x14ac:dyDescent="0.25">
      <c r="A3" s="338" t="s">
        <v>41</v>
      </c>
      <c r="B3" s="323" t="s">
        <v>66</v>
      </c>
      <c r="C3" s="284">
        <f t="shared" ref="C3:D7" si="0">SUM(F3,I3,L3)</f>
        <v>2</v>
      </c>
      <c r="D3" s="285">
        <f t="shared" si="0"/>
        <v>0</v>
      </c>
      <c r="E3" s="286">
        <f>D3/C3</f>
        <v>0</v>
      </c>
      <c r="F3" s="324">
        <v>1</v>
      </c>
      <c r="G3" s="324"/>
      <c r="H3" s="325">
        <f>G3/F3</f>
        <v>0</v>
      </c>
      <c r="I3" s="326"/>
      <c r="J3" s="326"/>
      <c r="K3" s="325" t="e">
        <f>J3/I3</f>
        <v>#DIV/0!</v>
      </c>
      <c r="L3" s="327">
        <v>1</v>
      </c>
      <c r="M3" s="327"/>
      <c r="N3" s="339">
        <f>M3/L3</f>
        <v>0</v>
      </c>
      <c r="O3" s="343"/>
      <c r="P3" s="343"/>
      <c r="Q3" s="343"/>
      <c r="R3" s="343"/>
      <c r="S3" s="343"/>
    </row>
    <row r="4" spans="1:19" x14ac:dyDescent="0.25">
      <c r="A4" s="338" t="s">
        <v>7</v>
      </c>
      <c r="B4" s="323" t="s">
        <v>66</v>
      </c>
      <c r="C4" s="284">
        <f t="shared" si="0"/>
        <v>4</v>
      </c>
      <c r="D4" s="285">
        <f t="shared" si="0"/>
        <v>0</v>
      </c>
      <c r="E4" s="286">
        <f>D4/C4</f>
        <v>0</v>
      </c>
      <c r="F4" s="324">
        <v>4</v>
      </c>
      <c r="G4" s="324"/>
      <c r="H4" s="325">
        <f>G4/F4</f>
        <v>0</v>
      </c>
      <c r="I4" s="326"/>
      <c r="J4" s="326"/>
      <c r="K4" s="325" t="e">
        <f>J4/I4</f>
        <v>#DIV/0!</v>
      </c>
      <c r="L4" s="327"/>
      <c r="M4" s="327"/>
      <c r="N4" s="339" t="e">
        <f>M4/L4</f>
        <v>#DIV/0!</v>
      </c>
      <c r="O4" s="343"/>
      <c r="P4" s="343"/>
      <c r="Q4" s="343"/>
      <c r="R4" s="343"/>
      <c r="S4" s="343"/>
    </row>
    <row r="5" spans="1:19" x14ac:dyDescent="0.25">
      <c r="A5" s="338" t="s">
        <v>12</v>
      </c>
      <c r="B5" s="323" t="s">
        <v>11</v>
      </c>
      <c r="C5" s="284">
        <f t="shared" si="0"/>
        <v>2</v>
      </c>
      <c r="D5" s="285">
        <f t="shared" si="0"/>
        <v>0</v>
      </c>
      <c r="E5" s="286">
        <f>D5/C5</f>
        <v>0</v>
      </c>
      <c r="F5" s="324">
        <v>1</v>
      </c>
      <c r="G5" s="324"/>
      <c r="H5" s="325">
        <f>G5/F5</f>
        <v>0</v>
      </c>
      <c r="I5" s="326">
        <v>1</v>
      </c>
      <c r="J5" s="326"/>
      <c r="K5" s="325">
        <f>J5/I5</f>
        <v>0</v>
      </c>
      <c r="L5" s="327"/>
      <c r="M5" s="327"/>
      <c r="N5" s="339" t="e">
        <f>M5/L5</f>
        <v>#DIV/0!</v>
      </c>
      <c r="O5" s="343"/>
      <c r="P5" s="343"/>
      <c r="Q5" s="343"/>
      <c r="R5" s="343"/>
      <c r="S5" s="343"/>
    </row>
    <row r="6" spans="1:19" x14ac:dyDescent="0.25">
      <c r="A6" s="338" t="s">
        <v>12</v>
      </c>
      <c r="B6" s="323" t="s">
        <v>14</v>
      </c>
      <c r="C6" s="284">
        <f t="shared" si="0"/>
        <v>2</v>
      </c>
      <c r="D6" s="285">
        <f t="shared" si="0"/>
        <v>0</v>
      </c>
      <c r="E6" s="286">
        <f>D6/C6</f>
        <v>0</v>
      </c>
      <c r="F6" s="324">
        <v>1</v>
      </c>
      <c r="G6" s="324"/>
      <c r="H6" s="325">
        <f>G6/F6</f>
        <v>0</v>
      </c>
      <c r="I6" s="326">
        <v>1</v>
      </c>
      <c r="J6" s="326"/>
      <c r="K6" s="325">
        <f>J6/I6</f>
        <v>0</v>
      </c>
      <c r="L6" s="327"/>
      <c r="M6" s="327"/>
      <c r="N6" s="339" t="e">
        <f>M6/L6</f>
        <v>#DIV/0!</v>
      </c>
      <c r="O6" s="343"/>
      <c r="P6" s="343"/>
      <c r="Q6" s="343"/>
      <c r="R6" s="343"/>
      <c r="S6" s="343"/>
    </row>
    <row r="7" spans="1:19" x14ac:dyDescent="0.25">
      <c r="A7" s="338" t="s">
        <v>41</v>
      </c>
      <c r="B7" s="323" t="s">
        <v>14</v>
      </c>
      <c r="C7" s="284">
        <f t="shared" si="0"/>
        <v>2</v>
      </c>
      <c r="D7" s="285">
        <f t="shared" si="0"/>
        <v>0</v>
      </c>
      <c r="E7" s="286">
        <f>D7/C7</f>
        <v>0</v>
      </c>
      <c r="F7" s="324">
        <v>2</v>
      </c>
      <c r="G7" s="324"/>
      <c r="H7" s="325">
        <f>G7/F7</f>
        <v>0</v>
      </c>
      <c r="I7" s="326"/>
      <c r="J7" s="326"/>
      <c r="K7" s="325" t="e">
        <f>J7/I7</f>
        <v>#DIV/0!</v>
      </c>
      <c r="L7" s="327"/>
      <c r="M7" s="327"/>
      <c r="N7" s="339" t="e">
        <f>M7/L7</f>
        <v>#DIV/0!</v>
      </c>
      <c r="O7" s="343"/>
      <c r="P7" s="343"/>
      <c r="Q7" s="343"/>
      <c r="R7" s="343"/>
      <c r="S7" s="343"/>
    </row>
    <row r="8" spans="1:19" x14ac:dyDescent="0.25">
      <c r="A8" s="338" t="s">
        <v>16</v>
      </c>
      <c r="B8" s="323" t="s">
        <v>12</v>
      </c>
      <c r="C8" s="284">
        <f t="shared" ref="C8:C39" si="1">SUM(F8,I8,L8)</f>
        <v>4</v>
      </c>
      <c r="D8" s="285">
        <f t="shared" ref="D8:D39" si="2">SUM(G8,J8,M8)</f>
        <v>2</v>
      </c>
      <c r="E8" s="286">
        <f t="shared" ref="E8:E39" si="3">D8/C8</f>
        <v>0.5</v>
      </c>
      <c r="F8" s="324">
        <v>3</v>
      </c>
      <c r="G8" s="324">
        <v>1</v>
      </c>
      <c r="H8" s="325">
        <f t="shared" ref="H8:H39" si="4">G8/F8</f>
        <v>0.33333333333333331</v>
      </c>
      <c r="I8" s="326"/>
      <c r="J8" s="326"/>
      <c r="K8" s="325" t="e">
        <f t="shared" ref="K8:K39" si="5">J8/I8</f>
        <v>#DIV/0!</v>
      </c>
      <c r="L8" s="327">
        <v>1</v>
      </c>
      <c r="M8" s="327">
        <v>1</v>
      </c>
      <c r="N8" s="339">
        <f t="shared" ref="N8:N39" si="6">M8/L8</f>
        <v>1</v>
      </c>
      <c r="O8" s="343"/>
      <c r="P8" s="343"/>
      <c r="Q8" s="343"/>
      <c r="R8" s="343"/>
      <c r="S8" s="343"/>
    </row>
    <row r="9" spans="1:19" x14ac:dyDescent="0.25">
      <c r="A9" s="338" t="s">
        <v>17</v>
      </c>
      <c r="B9" s="323" t="s">
        <v>11</v>
      </c>
      <c r="C9" s="284">
        <f t="shared" si="1"/>
        <v>3</v>
      </c>
      <c r="D9" s="285">
        <f t="shared" si="2"/>
        <v>0</v>
      </c>
      <c r="E9" s="286">
        <f t="shared" si="3"/>
        <v>0</v>
      </c>
      <c r="F9" s="324">
        <v>2</v>
      </c>
      <c r="G9" s="324"/>
      <c r="H9" s="325">
        <f t="shared" si="4"/>
        <v>0</v>
      </c>
      <c r="I9" s="326">
        <v>1</v>
      </c>
      <c r="J9" s="326"/>
      <c r="K9" s="325">
        <f t="shared" si="5"/>
        <v>0</v>
      </c>
      <c r="L9" s="327"/>
      <c r="M9" s="327"/>
      <c r="N9" s="339" t="e">
        <f t="shared" si="6"/>
        <v>#DIV/0!</v>
      </c>
      <c r="O9" s="343"/>
      <c r="P9" s="343"/>
      <c r="Q9" s="343"/>
      <c r="R9" s="343"/>
      <c r="S9" s="343"/>
    </row>
    <row r="10" spans="1:19" x14ac:dyDescent="0.25">
      <c r="A10" s="338" t="s">
        <v>7</v>
      </c>
      <c r="B10" s="323" t="s">
        <v>14</v>
      </c>
      <c r="C10" s="284">
        <f t="shared" si="1"/>
        <v>3</v>
      </c>
      <c r="D10" s="285">
        <f t="shared" si="2"/>
        <v>1</v>
      </c>
      <c r="E10" s="286">
        <f t="shared" si="3"/>
        <v>0.33333333333333331</v>
      </c>
      <c r="F10" s="324">
        <v>2</v>
      </c>
      <c r="G10" s="324">
        <v>1</v>
      </c>
      <c r="H10" s="325">
        <f t="shared" si="4"/>
        <v>0.5</v>
      </c>
      <c r="I10" s="326">
        <v>1</v>
      </c>
      <c r="J10" s="326"/>
      <c r="K10" s="325">
        <f t="shared" si="5"/>
        <v>0</v>
      </c>
      <c r="L10" s="327"/>
      <c r="M10" s="327"/>
      <c r="N10" s="339" t="e">
        <f t="shared" si="6"/>
        <v>#DIV/0!</v>
      </c>
      <c r="O10" s="343"/>
      <c r="P10" s="343"/>
      <c r="Q10" s="343"/>
      <c r="R10" s="343"/>
      <c r="S10" s="343"/>
    </row>
    <row r="11" spans="1:19" x14ac:dyDescent="0.25">
      <c r="A11" s="338" t="s">
        <v>41</v>
      </c>
      <c r="B11" s="323" t="s">
        <v>16</v>
      </c>
      <c r="C11" s="284">
        <f t="shared" si="1"/>
        <v>3</v>
      </c>
      <c r="D11" s="285">
        <f t="shared" si="2"/>
        <v>2</v>
      </c>
      <c r="E11" s="286">
        <f t="shared" si="3"/>
        <v>0.66666666666666663</v>
      </c>
      <c r="F11" s="324">
        <v>2</v>
      </c>
      <c r="G11" s="324">
        <v>1</v>
      </c>
      <c r="H11" s="325">
        <f t="shared" si="4"/>
        <v>0.5</v>
      </c>
      <c r="I11" s="326">
        <v>1</v>
      </c>
      <c r="J11" s="326">
        <v>1</v>
      </c>
      <c r="K11" s="325">
        <f t="shared" si="5"/>
        <v>1</v>
      </c>
      <c r="L11" s="327"/>
      <c r="M11" s="327"/>
      <c r="N11" s="339" t="e">
        <f t="shared" si="6"/>
        <v>#DIV/0!</v>
      </c>
      <c r="O11" s="343"/>
      <c r="P11" s="343"/>
      <c r="Q11" s="343"/>
      <c r="R11" s="343"/>
      <c r="S11" s="343"/>
    </row>
    <row r="12" spans="1:19" x14ac:dyDescent="0.25">
      <c r="A12" s="338" t="s">
        <v>12</v>
      </c>
      <c r="B12" s="323" t="s">
        <v>66</v>
      </c>
      <c r="C12" s="284">
        <f t="shared" si="1"/>
        <v>1</v>
      </c>
      <c r="D12" s="285">
        <f t="shared" si="2"/>
        <v>0</v>
      </c>
      <c r="E12" s="286">
        <f t="shared" si="3"/>
        <v>0</v>
      </c>
      <c r="F12" s="324"/>
      <c r="G12" s="324"/>
      <c r="H12" s="325" t="e">
        <f t="shared" si="4"/>
        <v>#DIV/0!</v>
      </c>
      <c r="I12" s="326">
        <v>1</v>
      </c>
      <c r="J12" s="326"/>
      <c r="K12" s="325">
        <f t="shared" si="5"/>
        <v>0</v>
      </c>
      <c r="L12" s="327"/>
      <c r="M12" s="327"/>
      <c r="N12" s="339" t="e">
        <f t="shared" si="6"/>
        <v>#DIV/0!</v>
      </c>
      <c r="O12" s="343"/>
      <c r="P12" s="343"/>
      <c r="Q12" s="343"/>
      <c r="R12" s="343"/>
      <c r="S12" s="343"/>
    </row>
    <row r="13" spans="1:19" x14ac:dyDescent="0.25">
      <c r="A13" s="338" t="s">
        <v>8</v>
      </c>
      <c r="B13" s="323" t="s">
        <v>7</v>
      </c>
      <c r="C13" s="284">
        <f t="shared" si="1"/>
        <v>3</v>
      </c>
      <c r="D13" s="285">
        <f t="shared" si="2"/>
        <v>2</v>
      </c>
      <c r="E13" s="286">
        <f t="shared" si="3"/>
        <v>0.66666666666666663</v>
      </c>
      <c r="F13" s="324">
        <v>2</v>
      </c>
      <c r="G13" s="324">
        <v>1</v>
      </c>
      <c r="H13" s="325">
        <f t="shared" si="4"/>
        <v>0.5</v>
      </c>
      <c r="I13" s="326">
        <v>1</v>
      </c>
      <c r="J13" s="326">
        <v>1</v>
      </c>
      <c r="K13" s="325">
        <f t="shared" si="5"/>
        <v>1</v>
      </c>
      <c r="L13" s="327"/>
      <c r="M13" s="327"/>
      <c r="N13" s="339" t="e">
        <f t="shared" si="6"/>
        <v>#DIV/0!</v>
      </c>
      <c r="O13" s="343"/>
      <c r="P13" s="343"/>
      <c r="Q13" s="343"/>
      <c r="R13" s="343"/>
      <c r="S13" s="343"/>
    </row>
    <row r="14" spans="1:19" x14ac:dyDescent="0.25">
      <c r="A14" s="338" t="s">
        <v>16</v>
      </c>
      <c r="B14" s="323" t="s">
        <v>11</v>
      </c>
      <c r="C14" s="284">
        <f t="shared" si="1"/>
        <v>2</v>
      </c>
      <c r="D14" s="285">
        <f t="shared" si="2"/>
        <v>1</v>
      </c>
      <c r="E14" s="286">
        <f t="shared" si="3"/>
        <v>0.5</v>
      </c>
      <c r="F14" s="324">
        <v>1</v>
      </c>
      <c r="G14" s="324">
        <v>1</v>
      </c>
      <c r="H14" s="325">
        <f t="shared" si="4"/>
        <v>1</v>
      </c>
      <c r="I14" s="326">
        <v>1</v>
      </c>
      <c r="J14" s="326"/>
      <c r="K14" s="325">
        <f t="shared" si="5"/>
        <v>0</v>
      </c>
      <c r="L14" s="327"/>
      <c r="M14" s="327"/>
      <c r="N14" s="339" t="e">
        <f t="shared" si="6"/>
        <v>#DIV/0!</v>
      </c>
      <c r="O14" s="343"/>
      <c r="P14" s="343"/>
      <c r="Q14" s="343"/>
      <c r="R14" s="343"/>
      <c r="S14" s="343"/>
    </row>
    <row r="15" spans="1:19" x14ac:dyDescent="0.25">
      <c r="A15" s="338" t="s">
        <v>8</v>
      </c>
      <c r="B15" s="323" t="s">
        <v>14</v>
      </c>
      <c r="C15" s="284">
        <f t="shared" si="1"/>
        <v>1</v>
      </c>
      <c r="D15" s="285">
        <f t="shared" si="2"/>
        <v>1</v>
      </c>
      <c r="E15" s="286">
        <f t="shared" si="3"/>
        <v>1</v>
      </c>
      <c r="F15" s="324"/>
      <c r="G15" s="324"/>
      <c r="H15" s="325" t="e">
        <f t="shared" si="4"/>
        <v>#DIV/0!</v>
      </c>
      <c r="I15" s="326">
        <v>1</v>
      </c>
      <c r="J15" s="326">
        <v>1</v>
      </c>
      <c r="K15" s="325">
        <f t="shared" si="5"/>
        <v>1</v>
      </c>
      <c r="L15" s="327"/>
      <c r="M15" s="327"/>
      <c r="N15" s="339" t="e">
        <f t="shared" si="6"/>
        <v>#DIV/0!</v>
      </c>
      <c r="O15" s="343"/>
      <c r="P15" s="343"/>
      <c r="Q15" s="343"/>
      <c r="R15" s="343"/>
      <c r="S15" s="343"/>
    </row>
    <row r="16" spans="1:19" x14ac:dyDescent="0.25">
      <c r="A16" s="338" t="s">
        <v>40</v>
      </c>
      <c r="B16" s="323" t="s">
        <v>66</v>
      </c>
      <c r="C16" s="284">
        <f t="shared" si="1"/>
        <v>3</v>
      </c>
      <c r="D16" s="285">
        <f t="shared" si="2"/>
        <v>0</v>
      </c>
      <c r="E16" s="286">
        <f t="shared" si="3"/>
        <v>0</v>
      </c>
      <c r="F16" s="324"/>
      <c r="G16" s="324"/>
      <c r="H16" s="325" t="e">
        <f t="shared" si="4"/>
        <v>#DIV/0!</v>
      </c>
      <c r="I16" s="326">
        <v>2</v>
      </c>
      <c r="J16" s="326"/>
      <c r="K16" s="325">
        <f t="shared" si="5"/>
        <v>0</v>
      </c>
      <c r="L16" s="327">
        <v>1</v>
      </c>
      <c r="M16" s="327"/>
      <c r="N16" s="339">
        <f t="shared" si="6"/>
        <v>0</v>
      </c>
      <c r="O16" s="343"/>
      <c r="P16" s="343"/>
      <c r="Q16" s="343"/>
      <c r="R16" s="343"/>
      <c r="S16" s="343"/>
    </row>
    <row r="17" spans="1:19" x14ac:dyDescent="0.25">
      <c r="A17" s="338" t="s">
        <v>8</v>
      </c>
      <c r="B17" s="323" t="s">
        <v>12</v>
      </c>
      <c r="C17" s="284">
        <f t="shared" si="1"/>
        <v>3</v>
      </c>
      <c r="D17" s="285">
        <f t="shared" si="2"/>
        <v>0</v>
      </c>
      <c r="E17" s="286">
        <f t="shared" si="3"/>
        <v>0</v>
      </c>
      <c r="F17" s="324">
        <v>2</v>
      </c>
      <c r="G17" s="324"/>
      <c r="H17" s="325">
        <f t="shared" si="4"/>
        <v>0</v>
      </c>
      <c r="I17" s="326">
        <v>1</v>
      </c>
      <c r="J17" s="326"/>
      <c r="K17" s="325">
        <f t="shared" si="5"/>
        <v>0</v>
      </c>
      <c r="L17" s="327"/>
      <c r="M17" s="327"/>
      <c r="N17" s="339" t="e">
        <f t="shared" si="6"/>
        <v>#DIV/0!</v>
      </c>
      <c r="O17" s="343"/>
      <c r="P17" s="343"/>
      <c r="Q17" s="343"/>
      <c r="R17" s="343"/>
      <c r="S17" s="343"/>
    </row>
    <row r="18" spans="1:19" x14ac:dyDescent="0.25">
      <c r="A18" s="338" t="s">
        <v>41</v>
      </c>
      <c r="B18" s="323" t="s">
        <v>17</v>
      </c>
      <c r="C18" s="284">
        <f t="shared" si="1"/>
        <v>1</v>
      </c>
      <c r="D18" s="285">
        <f t="shared" si="2"/>
        <v>0</v>
      </c>
      <c r="E18" s="286">
        <f t="shared" si="3"/>
        <v>0</v>
      </c>
      <c r="F18" s="324">
        <v>1</v>
      </c>
      <c r="G18" s="324"/>
      <c r="H18" s="325">
        <f t="shared" si="4"/>
        <v>0</v>
      </c>
      <c r="I18" s="326"/>
      <c r="J18" s="326"/>
      <c r="K18" s="325" t="e">
        <f t="shared" si="5"/>
        <v>#DIV/0!</v>
      </c>
      <c r="L18" s="327"/>
      <c r="M18" s="327"/>
      <c r="N18" s="339" t="e">
        <f t="shared" si="6"/>
        <v>#DIV/0!</v>
      </c>
      <c r="O18" s="343"/>
      <c r="P18" s="343"/>
      <c r="Q18" s="343"/>
      <c r="R18" s="343"/>
      <c r="S18" s="343"/>
    </row>
    <row r="19" spans="1:19" x14ac:dyDescent="0.25">
      <c r="A19" s="338" t="s">
        <v>7</v>
      </c>
      <c r="B19" s="323" t="s">
        <v>11</v>
      </c>
      <c r="C19" s="284">
        <f t="shared" si="1"/>
        <v>4</v>
      </c>
      <c r="D19" s="285">
        <f t="shared" si="2"/>
        <v>3</v>
      </c>
      <c r="E19" s="286">
        <f t="shared" si="3"/>
        <v>0.75</v>
      </c>
      <c r="F19" s="324">
        <v>4</v>
      </c>
      <c r="G19" s="324">
        <v>3</v>
      </c>
      <c r="H19" s="325">
        <f t="shared" si="4"/>
        <v>0.75</v>
      </c>
      <c r="I19" s="326"/>
      <c r="J19" s="326"/>
      <c r="K19" s="325" t="e">
        <f t="shared" si="5"/>
        <v>#DIV/0!</v>
      </c>
      <c r="L19" s="327"/>
      <c r="M19" s="327"/>
      <c r="N19" s="339" t="e">
        <f t="shared" si="6"/>
        <v>#DIV/0!</v>
      </c>
      <c r="O19" s="343"/>
      <c r="P19" s="343"/>
      <c r="Q19" s="343"/>
      <c r="R19" s="343"/>
      <c r="S19" s="343"/>
    </row>
    <row r="20" spans="1:19" x14ac:dyDescent="0.25">
      <c r="A20" s="338" t="s">
        <v>7</v>
      </c>
      <c r="B20" s="323" t="s">
        <v>17</v>
      </c>
      <c r="C20" s="284">
        <f t="shared" si="1"/>
        <v>2</v>
      </c>
      <c r="D20" s="285">
        <f t="shared" si="2"/>
        <v>0</v>
      </c>
      <c r="E20" s="286">
        <f t="shared" si="3"/>
        <v>0</v>
      </c>
      <c r="F20" s="324">
        <v>1</v>
      </c>
      <c r="G20" s="324"/>
      <c r="H20" s="325">
        <f t="shared" si="4"/>
        <v>0</v>
      </c>
      <c r="I20" s="326">
        <v>1</v>
      </c>
      <c r="J20" s="326"/>
      <c r="K20" s="325">
        <f t="shared" si="5"/>
        <v>0</v>
      </c>
      <c r="L20" s="327"/>
      <c r="M20" s="327"/>
      <c r="N20" s="339" t="e">
        <f t="shared" si="6"/>
        <v>#DIV/0!</v>
      </c>
      <c r="O20" s="343"/>
      <c r="P20" s="343"/>
      <c r="Q20" s="343"/>
      <c r="R20" s="343"/>
      <c r="S20" s="343"/>
    </row>
    <row r="21" spans="1:19" x14ac:dyDescent="0.25">
      <c r="A21" s="338" t="s">
        <v>54</v>
      </c>
      <c r="B21" s="323" t="s">
        <v>16</v>
      </c>
      <c r="C21" s="284">
        <f t="shared" si="1"/>
        <v>3</v>
      </c>
      <c r="D21" s="285">
        <f t="shared" si="2"/>
        <v>1</v>
      </c>
      <c r="E21" s="286">
        <f t="shared" si="3"/>
        <v>0.33333333333333331</v>
      </c>
      <c r="F21" s="324">
        <v>2</v>
      </c>
      <c r="G21" s="324">
        <v>1</v>
      </c>
      <c r="H21" s="325">
        <f t="shared" si="4"/>
        <v>0.5</v>
      </c>
      <c r="I21" s="326">
        <v>1</v>
      </c>
      <c r="J21" s="326"/>
      <c r="K21" s="325">
        <f t="shared" si="5"/>
        <v>0</v>
      </c>
      <c r="L21" s="327"/>
      <c r="M21" s="327"/>
      <c r="N21" s="339" t="e">
        <f t="shared" si="6"/>
        <v>#DIV/0!</v>
      </c>
      <c r="O21" s="343"/>
      <c r="P21" s="343"/>
      <c r="Q21" s="343"/>
      <c r="R21" s="343"/>
      <c r="S21" s="343"/>
    </row>
    <row r="22" spans="1:19" x14ac:dyDescent="0.25">
      <c r="A22" s="338" t="s">
        <v>8</v>
      </c>
      <c r="B22" s="323" t="s">
        <v>55</v>
      </c>
      <c r="C22" s="284">
        <f t="shared" si="1"/>
        <v>1</v>
      </c>
      <c r="D22" s="285">
        <f t="shared" si="2"/>
        <v>0</v>
      </c>
      <c r="E22" s="286">
        <f t="shared" si="3"/>
        <v>0</v>
      </c>
      <c r="F22" s="324"/>
      <c r="G22" s="324"/>
      <c r="H22" s="325" t="e">
        <f t="shared" si="4"/>
        <v>#DIV/0!</v>
      </c>
      <c r="I22" s="326">
        <v>1</v>
      </c>
      <c r="J22" s="326"/>
      <c r="K22" s="325">
        <f t="shared" si="5"/>
        <v>0</v>
      </c>
      <c r="L22" s="327"/>
      <c r="M22" s="327"/>
      <c r="N22" s="339" t="e">
        <f t="shared" si="6"/>
        <v>#DIV/0!</v>
      </c>
      <c r="O22" s="343"/>
      <c r="P22" s="343"/>
      <c r="Q22" s="343"/>
      <c r="R22" s="343"/>
      <c r="S22" s="343"/>
    </row>
    <row r="23" spans="1:19" x14ac:dyDescent="0.25">
      <c r="A23" s="338" t="s">
        <v>41</v>
      </c>
      <c r="B23" s="323" t="s">
        <v>55</v>
      </c>
      <c r="C23" s="284">
        <f t="shared" si="1"/>
        <v>2</v>
      </c>
      <c r="D23" s="285">
        <f t="shared" si="2"/>
        <v>2</v>
      </c>
      <c r="E23" s="286">
        <f t="shared" si="3"/>
        <v>1</v>
      </c>
      <c r="F23" s="324">
        <v>1</v>
      </c>
      <c r="G23" s="324">
        <v>1</v>
      </c>
      <c r="H23" s="325">
        <f t="shared" si="4"/>
        <v>1</v>
      </c>
      <c r="I23" s="326">
        <v>1</v>
      </c>
      <c r="J23" s="326">
        <v>1</v>
      </c>
      <c r="K23" s="325">
        <f t="shared" si="5"/>
        <v>1</v>
      </c>
      <c r="L23" s="327"/>
      <c r="M23" s="327"/>
      <c r="N23" s="339" t="e">
        <f t="shared" si="6"/>
        <v>#DIV/0!</v>
      </c>
      <c r="O23" s="343"/>
      <c r="P23" s="343"/>
      <c r="Q23" s="343"/>
      <c r="R23" s="343"/>
      <c r="S23" s="343"/>
    </row>
    <row r="24" spans="1:19" x14ac:dyDescent="0.25">
      <c r="A24" s="338" t="s">
        <v>16</v>
      </c>
      <c r="B24" s="323" t="s">
        <v>55</v>
      </c>
      <c r="C24" s="284">
        <f t="shared" si="1"/>
        <v>2</v>
      </c>
      <c r="D24" s="285">
        <f t="shared" si="2"/>
        <v>1</v>
      </c>
      <c r="E24" s="286">
        <f t="shared" si="3"/>
        <v>0.5</v>
      </c>
      <c r="F24" s="324">
        <v>1</v>
      </c>
      <c r="G24" s="324">
        <v>1</v>
      </c>
      <c r="H24" s="325">
        <f t="shared" si="4"/>
        <v>1</v>
      </c>
      <c r="I24" s="326"/>
      <c r="J24" s="326"/>
      <c r="K24" s="325" t="e">
        <f t="shared" si="5"/>
        <v>#DIV/0!</v>
      </c>
      <c r="L24" s="327">
        <v>1</v>
      </c>
      <c r="M24" s="327"/>
      <c r="N24" s="339">
        <f t="shared" si="6"/>
        <v>0</v>
      </c>
      <c r="O24" s="343"/>
      <c r="P24" s="343"/>
      <c r="Q24" s="343"/>
      <c r="R24" s="343"/>
      <c r="S24" s="343"/>
    </row>
    <row r="25" spans="1:19" x14ac:dyDescent="0.25">
      <c r="A25" s="338" t="s">
        <v>7</v>
      </c>
      <c r="B25" s="323" t="s">
        <v>16</v>
      </c>
      <c r="C25" s="284">
        <f t="shared" si="1"/>
        <v>3</v>
      </c>
      <c r="D25" s="285">
        <f t="shared" si="2"/>
        <v>3</v>
      </c>
      <c r="E25" s="286">
        <f t="shared" si="3"/>
        <v>1</v>
      </c>
      <c r="F25" s="324">
        <v>1</v>
      </c>
      <c r="G25" s="324">
        <v>1</v>
      </c>
      <c r="H25" s="325">
        <f t="shared" si="4"/>
        <v>1</v>
      </c>
      <c r="I25" s="326"/>
      <c r="J25" s="326"/>
      <c r="K25" s="325" t="e">
        <f t="shared" si="5"/>
        <v>#DIV/0!</v>
      </c>
      <c r="L25" s="327">
        <v>2</v>
      </c>
      <c r="M25" s="327">
        <v>2</v>
      </c>
      <c r="N25" s="339">
        <f t="shared" si="6"/>
        <v>1</v>
      </c>
      <c r="O25" s="343"/>
      <c r="P25" s="343"/>
      <c r="Q25" s="343"/>
      <c r="R25" s="343"/>
      <c r="S25" s="343"/>
    </row>
    <row r="26" spans="1:19" x14ac:dyDescent="0.25">
      <c r="A26" s="338" t="s">
        <v>11</v>
      </c>
      <c r="B26" s="323" t="s">
        <v>14</v>
      </c>
      <c r="C26" s="284">
        <f t="shared" si="1"/>
        <v>3</v>
      </c>
      <c r="D26" s="285">
        <f t="shared" si="2"/>
        <v>2</v>
      </c>
      <c r="E26" s="286">
        <f t="shared" si="3"/>
        <v>0.66666666666666663</v>
      </c>
      <c r="F26" s="324">
        <v>2</v>
      </c>
      <c r="G26" s="324">
        <v>2</v>
      </c>
      <c r="H26" s="325">
        <f t="shared" si="4"/>
        <v>1</v>
      </c>
      <c r="I26" s="326"/>
      <c r="J26" s="326"/>
      <c r="K26" s="325" t="e">
        <f t="shared" si="5"/>
        <v>#DIV/0!</v>
      </c>
      <c r="L26" s="327">
        <v>1</v>
      </c>
      <c r="M26" s="327"/>
      <c r="N26" s="339">
        <f t="shared" si="6"/>
        <v>0</v>
      </c>
      <c r="O26" s="343"/>
      <c r="P26" s="343"/>
      <c r="Q26" s="343"/>
      <c r="R26" s="343"/>
      <c r="S26" s="343"/>
    </row>
    <row r="27" spans="1:19" x14ac:dyDescent="0.25">
      <c r="A27" s="338" t="s">
        <v>68</v>
      </c>
      <c r="B27" s="323" t="s">
        <v>17</v>
      </c>
      <c r="C27" s="284">
        <f t="shared" si="1"/>
        <v>1</v>
      </c>
      <c r="D27" s="285">
        <f t="shared" si="2"/>
        <v>0</v>
      </c>
      <c r="E27" s="286">
        <f t="shared" si="3"/>
        <v>0</v>
      </c>
      <c r="F27" s="324">
        <v>1</v>
      </c>
      <c r="G27" s="324"/>
      <c r="H27" s="325">
        <f t="shared" si="4"/>
        <v>0</v>
      </c>
      <c r="I27" s="326"/>
      <c r="J27" s="326"/>
      <c r="K27" s="325" t="e">
        <f t="shared" si="5"/>
        <v>#DIV/0!</v>
      </c>
      <c r="L27" s="327"/>
      <c r="M27" s="327"/>
      <c r="N27" s="339" t="e">
        <f t="shared" si="6"/>
        <v>#DIV/0!</v>
      </c>
      <c r="O27" s="343"/>
      <c r="P27" s="343"/>
      <c r="Q27" s="343"/>
      <c r="R27" s="343"/>
      <c r="S27" s="343"/>
    </row>
    <row r="28" spans="1:19" x14ac:dyDescent="0.25">
      <c r="A28" s="338" t="s">
        <v>7</v>
      </c>
      <c r="B28" s="323" t="s">
        <v>41</v>
      </c>
      <c r="C28" s="284">
        <f t="shared" si="1"/>
        <v>4</v>
      </c>
      <c r="D28" s="285">
        <f t="shared" si="2"/>
        <v>3</v>
      </c>
      <c r="E28" s="286">
        <f t="shared" si="3"/>
        <v>0.75</v>
      </c>
      <c r="F28" s="324">
        <v>4</v>
      </c>
      <c r="G28" s="324">
        <v>3</v>
      </c>
      <c r="H28" s="325">
        <f t="shared" si="4"/>
        <v>0.75</v>
      </c>
      <c r="I28" s="326"/>
      <c r="J28" s="326"/>
      <c r="K28" s="325" t="e">
        <f t="shared" si="5"/>
        <v>#DIV/0!</v>
      </c>
      <c r="L28" s="327"/>
      <c r="M28" s="327"/>
      <c r="N28" s="339" t="e">
        <f t="shared" si="6"/>
        <v>#DIV/0!</v>
      </c>
      <c r="O28" s="343"/>
      <c r="P28" s="343"/>
      <c r="Q28" s="343"/>
      <c r="R28" s="343"/>
      <c r="S28" s="343"/>
    </row>
    <row r="29" spans="1:19" x14ac:dyDescent="0.25">
      <c r="A29" s="338" t="s">
        <v>40</v>
      </c>
      <c r="B29" s="323" t="s">
        <v>16</v>
      </c>
      <c r="C29" s="284">
        <f t="shared" si="1"/>
        <v>1</v>
      </c>
      <c r="D29" s="285">
        <f t="shared" si="2"/>
        <v>1</v>
      </c>
      <c r="E29" s="286">
        <f t="shared" si="3"/>
        <v>1</v>
      </c>
      <c r="F29" s="324"/>
      <c r="G29" s="324"/>
      <c r="H29" s="325" t="e">
        <f t="shared" si="4"/>
        <v>#DIV/0!</v>
      </c>
      <c r="I29" s="326"/>
      <c r="J29" s="326"/>
      <c r="K29" s="325" t="e">
        <f t="shared" si="5"/>
        <v>#DIV/0!</v>
      </c>
      <c r="L29" s="327">
        <v>1</v>
      </c>
      <c r="M29" s="327">
        <v>1</v>
      </c>
      <c r="N29" s="339">
        <f t="shared" si="6"/>
        <v>1</v>
      </c>
      <c r="O29" s="343"/>
      <c r="P29" s="343"/>
      <c r="Q29" s="343"/>
      <c r="R29" s="343"/>
      <c r="S29" s="343"/>
    </row>
    <row r="30" spans="1:19" x14ac:dyDescent="0.25">
      <c r="A30" s="338" t="s">
        <v>41</v>
      </c>
      <c r="B30" s="323" t="s">
        <v>11</v>
      </c>
      <c r="C30" s="284">
        <f t="shared" si="1"/>
        <v>1</v>
      </c>
      <c r="D30" s="285">
        <f t="shared" si="2"/>
        <v>0</v>
      </c>
      <c r="E30" s="286">
        <f t="shared" si="3"/>
        <v>0</v>
      </c>
      <c r="F30" s="324"/>
      <c r="G30" s="324"/>
      <c r="H30" s="325" t="e">
        <f t="shared" si="4"/>
        <v>#DIV/0!</v>
      </c>
      <c r="I30" s="326"/>
      <c r="J30" s="326"/>
      <c r="K30" s="325" t="e">
        <f t="shared" si="5"/>
        <v>#DIV/0!</v>
      </c>
      <c r="L30" s="327">
        <v>1</v>
      </c>
      <c r="M30" s="327"/>
      <c r="N30" s="339">
        <f t="shared" si="6"/>
        <v>0</v>
      </c>
      <c r="O30" s="343"/>
      <c r="P30" s="343"/>
      <c r="Q30" s="343"/>
      <c r="R30" s="343"/>
      <c r="S30" s="343"/>
    </row>
    <row r="31" spans="1:19" x14ac:dyDescent="0.25">
      <c r="A31" s="338" t="s">
        <v>70</v>
      </c>
      <c r="B31" s="323" t="s">
        <v>12</v>
      </c>
      <c r="C31" s="284">
        <f t="shared" si="1"/>
        <v>1</v>
      </c>
      <c r="D31" s="285">
        <f t="shared" si="2"/>
        <v>0</v>
      </c>
      <c r="E31" s="286">
        <f t="shared" si="3"/>
        <v>0</v>
      </c>
      <c r="F31" s="324">
        <v>1</v>
      </c>
      <c r="G31" s="324"/>
      <c r="H31" s="325">
        <f t="shared" si="4"/>
        <v>0</v>
      </c>
      <c r="I31" s="326"/>
      <c r="J31" s="326"/>
      <c r="K31" s="325" t="e">
        <f t="shared" si="5"/>
        <v>#DIV/0!</v>
      </c>
      <c r="L31" s="327"/>
      <c r="M31" s="327"/>
      <c r="N31" s="339" t="e">
        <f t="shared" si="6"/>
        <v>#DIV/0!</v>
      </c>
      <c r="O31" s="343"/>
      <c r="P31" s="343"/>
      <c r="Q31" s="343"/>
      <c r="R31" s="343"/>
      <c r="S31" s="343"/>
    </row>
    <row r="32" spans="1:19" x14ac:dyDescent="0.25">
      <c r="A32" s="338" t="s">
        <v>11</v>
      </c>
      <c r="B32" s="323" t="s">
        <v>66</v>
      </c>
      <c r="C32" s="284">
        <f t="shared" si="1"/>
        <v>4</v>
      </c>
      <c r="D32" s="285">
        <f t="shared" si="2"/>
        <v>0</v>
      </c>
      <c r="E32" s="286">
        <f t="shared" si="3"/>
        <v>0</v>
      </c>
      <c r="F32" s="324">
        <v>3</v>
      </c>
      <c r="G32" s="324"/>
      <c r="H32" s="325">
        <f t="shared" si="4"/>
        <v>0</v>
      </c>
      <c r="I32" s="326">
        <v>1</v>
      </c>
      <c r="J32" s="326"/>
      <c r="K32" s="325">
        <f t="shared" si="5"/>
        <v>0</v>
      </c>
      <c r="L32" s="327"/>
      <c r="M32" s="327"/>
      <c r="N32" s="339" t="e">
        <f t="shared" si="6"/>
        <v>#DIV/0!</v>
      </c>
      <c r="O32" s="343"/>
      <c r="P32" s="343"/>
      <c r="Q32" s="343"/>
      <c r="R32" s="343"/>
      <c r="S32" s="343"/>
    </row>
    <row r="33" spans="1:19" x14ac:dyDescent="0.25">
      <c r="A33" s="338" t="s">
        <v>41</v>
      </c>
      <c r="B33" s="323" t="s">
        <v>12</v>
      </c>
      <c r="C33" s="284">
        <f t="shared" si="1"/>
        <v>1</v>
      </c>
      <c r="D33" s="285">
        <f t="shared" si="2"/>
        <v>1</v>
      </c>
      <c r="E33" s="286">
        <f t="shared" si="3"/>
        <v>1</v>
      </c>
      <c r="F33" s="324">
        <v>1</v>
      </c>
      <c r="G33" s="324">
        <v>1</v>
      </c>
      <c r="H33" s="325">
        <f t="shared" si="4"/>
        <v>1</v>
      </c>
      <c r="I33" s="326"/>
      <c r="J33" s="326"/>
      <c r="K33" s="325" t="e">
        <f t="shared" si="5"/>
        <v>#DIV/0!</v>
      </c>
      <c r="L33" s="327"/>
      <c r="M33" s="327"/>
      <c r="N33" s="339" t="e">
        <f t="shared" si="6"/>
        <v>#DIV/0!</v>
      </c>
      <c r="O33" s="343"/>
      <c r="P33" s="343"/>
      <c r="Q33" s="343"/>
      <c r="R33" s="343"/>
      <c r="S33" s="343"/>
    </row>
    <row r="34" spans="1:19" x14ac:dyDescent="0.25">
      <c r="A34" s="338" t="s">
        <v>40</v>
      </c>
      <c r="B34" s="323" t="s">
        <v>12</v>
      </c>
      <c r="C34" s="284">
        <f t="shared" si="1"/>
        <v>2</v>
      </c>
      <c r="D34" s="285">
        <f t="shared" si="2"/>
        <v>0</v>
      </c>
      <c r="E34" s="286">
        <f t="shared" si="3"/>
        <v>0</v>
      </c>
      <c r="F34" s="324">
        <v>1</v>
      </c>
      <c r="G34" s="324"/>
      <c r="H34" s="325">
        <f t="shared" si="4"/>
        <v>0</v>
      </c>
      <c r="I34" s="326"/>
      <c r="J34" s="326"/>
      <c r="K34" s="325" t="e">
        <f t="shared" si="5"/>
        <v>#DIV/0!</v>
      </c>
      <c r="L34" s="327">
        <v>1</v>
      </c>
      <c r="M34" s="327"/>
      <c r="N34" s="339">
        <f t="shared" si="6"/>
        <v>0</v>
      </c>
      <c r="O34" s="343"/>
      <c r="P34" s="343"/>
      <c r="Q34" s="343"/>
      <c r="R34" s="343"/>
      <c r="S34" s="343"/>
    </row>
    <row r="35" spans="1:19" x14ac:dyDescent="0.25">
      <c r="A35" s="338" t="s">
        <v>16</v>
      </c>
      <c r="B35" s="323" t="s">
        <v>14</v>
      </c>
      <c r="C35" s="284">
        <f t="shared" si="1"/>
        <v>1</v>
      </c>
      <c r="D35" s="285">
        <f t="shared" si="2"/>
        <v>0</v>
      </c>
      <c r="E35" s="286">
        <f t="shared" si="3"/>
        <v>0</v>
      </c>
      <c r="F35" s="324">
        <v>1</v>
      </c>
      <c r="G35" s="324"/>
      <c r="H35" s="325">
        <f t="shared" si="4"/>
        <v>0</v>
      </c>
      <c r="I35" s="326"/>
      <c r="J35" s="326"/>
      <c r="K35" s="325" t="e">
        <f t="shared" si="5"/>
        <v>#DIV/0!</v>
      </c>
      <c r="L35" s="327"/>
      <c r="M35" s="327"/>
      <c r="N35" s="339" t="e">
        <f t="shared" si="6"/>
        <v>#DIV/0!</v>
      </c>
      <c r="O35" s="343"/>
      <c r="P35" s="343"/>
      <c r="Q35" s="343"/>
      <c r="R35" s="343"/>
      <c r="S35" s="343"/>
    </row>
    <row r="36" spans="1:19" x14ac:dyDescent="0.25">
      <c r="A36" s="338" t="s">
        <v>54</v>
      </c>
      <c r="B36" s="323" t="s">
        <v>7</v>
      </c>
      <c r="C36" s="284">
        <f t="shared" si="1"/>
        <v>2</v>
      </c>
      <c r="D36" s="285">
        <f t="shared" si="2"/>
        <v>0</v>
      </c>
      <c r="E36" s="286">
        <f t="shared" si="3"/>
        <v>0</v>
      </c>
      <c r="F36" s="324">
        <v>2</v>
      </c>
      <c r="G36" s="324"/>
      <c r="H36" s="325">
        <f t="shared" si="4"/>
        <v>0</v>
      </c>
      <c r="I36" s="326"/>
      <c r="J36" s="326"/>
      <c r="K36" s="325" t="e">
        <f t="shared" si="5"/>
        <v>#DIV/0!</v>
      </c>
      <c r="L36" s="327"/>
      <c r="M36" s="327"/>
      <c r="N36" s="339" t="e">
        <f t="shared" si="6"/>
        <v>#DIV/0!</v>
      </c>
      <c r="O36" s="343"/>
      <c r="P36" s="343"/>
      <c r="Q36" s="343"/>
      <c r="R36" s="343"/>
      <c r="S36" s="343"/>
    </row>
    <row r="37" spans="1:19" x14ac:dyDescent="0.25">
      <c r="A37" s="338" t="s">
        <v>70</v>
      </c>
      <c r="B37" s="323" t="s">
        <v>14</v>
      </c>
      <c r="C37" s="284">
        <f t="shared" si="1"/>
        <v>2</v>
      </c>
      <c r="D37" s="285">
        <f t="shared" si="2"/>
        <v>0</v>
      </c>
      <c r="E37" s="286">
        <f t="shared" si="3"/>
        <v>0</v>
      </c>
      <c r="F37" s="324">
        <v>1</v>
      </c>
      <c r="G37" s="324"/>
      <c r="H37" s="325">
        <f t="shared" si="4"/>
        <v>0</v>
      </c>
      <c r="I37" s="326">
        <v>1</v>
      </c>
      <c r="J37" s="326"/>
      <c r="K37" s="325">
        <f t="shared" si="5"/>
        <v>0</v>
      </c>
      <c r="L37" s="327"/>
      <c r="M37" s="327"/>
      <c r="N37" s="339" t="e">
        <f t="shared" si="6"/>
        <v>#DIV/0!</v>
      </c>
      <c r="O37" s="343"/>
      <c r="P37" s="343"/>
      <c r="Q37" s="343"/>
      <c r="R37" s="343"/>
      <c r="S37" s="343"/>
    </row>
    <row r="38" spans="1:19" x14ac:dyDescent="0.25">
      <c r="A38" s="338" t="s">
        <v>70</v>
      </c>
      <c r="B38" s="323" t="s">
        <v>71</v>
      </c>
      <c r="C38" s="284">
        <f t="shared" si="1"/>
        <v>1</v>
      </c>
      <c r="D38" s="285">
        <f t="shared" si="2"/>
        <v>1</v>
      </c>
      <c r="E38" s="286">
        <f t="shared" si="3"/>
        <v>1</v>
      </c>
      <c r="F38" s="324">
        <v>1</v>
      </c>
      <c r="G38" s="324">
        <v>1</v>
      </c>
      <c r="H38" s="325">
        <f t="shared" si="4"/>
        <v>1</v>
      </c>
      <c r="I38" s="326"/>
      <c r="J38" s="326"/>
      <c r="K38" s="325" t="e">
        <f t="shared" si="5"/>
        <v>#DIV/0!</v>
      </c>
      <c r="L38" s="327"/>
      <c r="M38" s="327"/>
      <c r="N38" s="339" t="e">
        <f t="shared" si="6"/>
        <v>#DIV/0!</v>
      </c>
      <c r="O38" s="343"/>
      <c r="P38" s="343"/>
      <c r="Q38" s="343"/>
      <c r="R38" s="343"/>
      <c r="S38" s="343"/>
    </row>
    <row r="39" spans="1:19" x14ac:dyDescent="0.25">
      <c r="A39" s="338" t="s">
        <v>66</v>
      </c>
      <c r="B39" s="323" t="s">
        <v>14</v>
      </c>
      <c r="C39" s="284">
        <f t="shared" si="1"/>
        <v>1</v>
      </c>
      <c r="D39" s="285">
        <f t="shared" si="2"/>
        <v>0</v>
      </c>
      <c r="E39" s="286">
        <f t="shared" si="3"/>
        <v>0</v>
      </c>
      <c r="F39" s="324">
        <v>1</v>
      </c>
      <c r="G39" s="324"/>
      <c r="H39" s="325">
        <f t="shared" si="4"/>
        <v>0</v>
      </c>
      <c r="I39" s="326"/>
      <c r="J39" s="326"/>
      <c r="K39" s="325" t="e">
        <f t="shared" si="5"/>
        <v>#DIV/0!</v>
      </c>
      <c r="L39" s="327"/>
      <c r="M39" s="327"/>
      <c r="N39" s="339" t="e">
        <f t="shared" si="6"/>
        <v>#DIV/0!</v>
      </c>
      <c r="O39" s="343"/>
      <c r="P39" s="343"/>
      <c r="Q39" s="343"/>
      <c r="R39" s="343"/>
      <c r="S39" s="343"/>
    </row>
    <row r="40" spans="1:19" x14ac:dyDescent="0.25">
      <c r="A40" s="338" t="s">
        <v>40</v>
      </c>
      <c r="B40" s="323" t="s">
        <v>14</v>
      </c>
      <c r="C40" s="284">
        <f t="shared" ref="C40:C56" si="7">SUM(F40,I40,L40)</f>
        <v>4</v>
      </c>
      <c r="D40" s="285">
        <f t="shared" ref="D40:D56" si="8">SUM(G40,J40,M40)</f>
        <v>0</v>
      </c>
      <c r="E40" s="286">
        <f t="shared" ref="E40:E56" si="9">D40/C40</f>
        <v>0</v>
      </c>
      <c r="F40" s="324"/>
      <c r="G40" s="324"/>
      <c r="H40" s="325" t="e">
        <f t="shared" ref="H40:H56" si="10">G40/F40</f>
        <v>#DIV/0!</v>
      </c>
      <c r="I40" s="326">
        <v>2</v>
      </c>
      <c r="J40" s="326"/>
      <c r="K40" s="325">
        <f t="shared" ref="K40:K56" si="11">J40/I40</f>
        <v>0</v>
      </c>
      <c r="L40" s="327">
        <v>2</v>
      </c>
      <c r="M40" s="327"/>
      <c r="N40" s="339">
        <f t="shared" ref="N40:N56" si="12">M40/L40</f>
        <v>0</v>
      </c>
      <c r="O40" s="343"/>
      <c r="P40" s="343"/>
      <c r="Q40" s="343"/>
      <c r="R40" s="343"/>
      <c r="S40" s="343"/>
    </row>
    <row r="41" spans="1:19" x14ac:dyDescent="0.25">
      <c r="A41" s="338" t="s">
        <v>17</v>
      </c>
      <c r="B41" s="323" t="s">
        <v>14</v>
      </c>
      <c r="C41" s="284">
        <f t="shared" si="7"/>
        <v>1</v>
      </c>
      <c r="D41" s="285">
        <f t="shared" si="8"/>
        <v>0</v>
      </c>
      <c r="E41" s="286">
        <f t="shared" si="9"/>
        <v>0</v>
      </c>
      <c r="F41" s="324"/>
      <c r="G41" s="324"/>
      <c r="H41" s="325" t="e">
        <f t="shared" si="10"/>
        <v>#DIV/0!</v>
      </c>
      <c r="I41" s="326">
        <v>1</v>
      </c>
      <c r="J41" s="326"/>
      <c r="K41" s="325">
        <f t="shared" si="11"/>
        <v>0</v>
      </c>
      <c r="L41" s="327"/>
      <c r="M41" s="327"/>
      <c r="N41" s="339" t="e">
        <f t="shared" si="12"/>
        <v>#DIV/0!</v>
      </c>
      <c r="O41" s="343"/>
      <c r="P41" s="343"/>
      <c r="Q41" s="343"/>
      <c r="R41" s="343"/>
      <c r="S41" s="343"/>
    </row>
    <row r="42" spans="1:19" x14ac:dyDescent="0.25">
      <c r="A42" s="338" t="s">
        <v>16</v>
      </c>
      <c r="B42" s="323" t="s">
        <v>66</v>
      </c>
      <c r="C42" s="284">
        <f t="shared" si="7"/>
        <v>4</v>
      </c>
      <c r="D42" s="285">
        <f t="shared" si="8"/>
        <v>2</v>
      </c>
      <c r="E42" s="286">
        <f t="shared" si="9"/>
        <v>0.5</v>
      </c>
      <c r="F42" s="324">
        <v>3</v>
      </c>
      <c r="G42" s="324">
        <v>2</v>
      </c>
      <c r="H42" s="325">
        <f t="shared" si="10"/>
        <v>0.66666666666666663</v>
      </c>
      <c r="I42" s="326">
        <v>1</v>
      </c>
      <c r="J42" s="326"/>
      <c r="K42" s="325">
        <f t="shared" si="11"/>
        <v>0</v>
      </c>
      <c r="L42" s="327"/>
      <c r="M42" s="327"/>
      <c r="N42" s="339" t="e">
        <f t="shared" si="12"/>
        <v>#DIV/0!</v>
      </c>
      <c r="O42" s="343"/>
      <c r="P42" s="343"/>
      <c r="Q42" s="343"/>
      <c r="R42" s="343"/>
      <c r="S42" s="343"/>
    </row>
    <row r="43" spans="1:19" x14ac:dyDescent="0.25">
      <c r="A43" s="338" t="s">
        <v>71</v>
      </c>
      <c r="B43" s="323" t="s">
        <v>11</v>
      </c>
      <c r="C43" s="284">
        <f t="shared" si="7"/>
        <v>2</v>
      </c>
      <c r="D43" s="285">
        <f t="shared" si="8"/>
        <v>1</v>
      </c>
      <c r="E43" s="286">
        <f t="shared" si="9"/>
        <v>0.5</v>
      </c>
      <c r="F43" s="324">
        <v>1</v>
      </c>
      <c r="G43" s="324">
        <v>1</v>
      </c>
      <c r="H43" s="325">
        <f t="shared" si="10"/>
        <v>1</v>
      </c>
      <c r="I43" s="326">
        <v>1</v>
      </c>
      <c r="J43" s="326"/>
      <c r="K43" s="325">
        <f t="shared" si="11"/>
        <v>0</v>
      </c>
      <c r="L43" s="327"/>
      <c r="M43" s="327"/>
      <c r="N43" s="339" t="e">
        <f t="shared" si="12"/>
        <v>#DIV/0!</v>
      </c>
      <c r="O43" s="343"/>
      <c r="P43" s="343"/>
      <c r="Q43" s="343"/>
      <c r="R43" s="343"/>
      <c r="S43" s="343"/>
    </row>
    <row r="44" spans="1:19" x14ac:dyDescent="0.25">
      <c r="A44" s="338" t="s">
        <v>71</v>
      </c>
      <c r="B44" s="323" t="s">
        <v>14</v>
      </c>
      <c r="C44" s="284">
        <f t="shared" si="7"/>
        <v>1</v>
      </c>
      <c r="D44" s="285">
        <f t="shared" si="8"/>
        <v>0</v>
      </c>
      <c r="E44" s="286">
        <f t="shared" si="9"/>
        <v>0</v>
      </c>
      <c r="F44" s="324"/>
      <c r="G44" s="324"/>
      <c r="H44" s="325" t="e">
        <f t="shared" si="10"/>
        <v>#DIV/0!</v>
      </c>
      <c r="I44" s="326">
        <v>1</v>
      </c>
      <c r="J44" s="326"/>
      <c r="K44" s="325">
        <f t="shared" si="11"/>
        <v>0</v>
      </c>
      <c r="L44" s="327"/>
      <c r="M44" s="327"/>
      <c r="N44" s="339" t="e">
        <f t="shared" si="12"/>
        <v>#DIV/0!</v>
      </c>
      <c r="O44" s="343"/>
      <c r="P44" s="343"/>
      <c r="Q44" s="343"/>
      <c r="R44" s="343"/>
      <c r="S44" s="343"/>
    </row>
    <row r="45" spans="1:19" x14ac:dyDescent="0.25">
      <c r="A45" s="338" t="s">
        <v>40</v>
      </c>
      <c r="B45" s="323" t="s">
        <v>11</v>
      </c>
      <c r="C45" s="284">
        <f t="shared" si="7"/>
        <v>2</v>
      </c>
      <c r="D45" s="285">
        <f t="shared" si="8"/>
        <v>1</v>
      </c>
      <c r="E45" s="286">
        <f t="shared" si="9"/>
        <v>0.5</v>
      </c>
      <c r="F45" s="324">
        <v>1</v>
      </c>
      <c r="G45" s="324">
        <v>1</v>
      </c>
      <c r="H45" s="325">
        <f t="shared" si="10"/>
        <v>1</v>
      </c>
      <c r="I45" s="326">
        <v>1</v>
      </c>
      <c r="J45" s="326"/>
      <c r="K45" s="325">
        <f t="shared" si="11"/>
        <v>0</v>
      </c>
      <c r="L45" s="327"/>
      <c r="M45" s="327"/>
      <c r="N45" s="339" t="e">
        <f t="shared" si="12"/>
        <v>#DIV/0!</v>
      </c>
      <c r="O45" s="343"/>
      <c r="P45" s="343"/>
      <c r="Q45" s="343"/>
      <c r="R45" s="343"/>
      <c r="S45" s="343"/>
    </row>
    <row r="46" spans="1:19" x14ac:dyDescent="0.25">
      <c r="A46" s="338" t="s">
        <v>8</v>
      </c>
      <c r="B46" s="323" t="s">
        <v>16</v>
      </c>
      <c r="C46" s="284">
        <f t="shared" si="7"/>
        <v>1</v>
      </c>
      <c r="D46" s="285">
        <f t="shared" si="8"/>
        <v>0</v>
      </c>
      <c r="E46" s="286">
        <f t="shared" si="9"/>
        <v>0</v>
      </c>
      <c r="F46" s="324">
        <v>1</v>
      </c>
      <c r="G46" s="324"/>
      <c r="H46" s="325">
        <f t="shared" si="10"/>
        <v>0</v>
      </c>
      <c r="I46" s="326"/>
      <c r="J46" s="326"/>
      <c r="K46" s="325" t="e">
        <f t="shared" si="11"/>
        <v>#DIV/0!</v>
      </c>
      <c r="L46" s="327"/>
      <c r="M46" s="327"/>
      <c r="N46" s="339" t="e">
        <f t="shared" si="12"/>
        <v>#DIV/0!</v>
      </c>
      <c r="O46" s="343"/>
      <c r="P46" s="343"/>
      <c r="Q46" s="343"/>
      <c r="R46" s="343"/>
      <c r="S46" s="343"/>
    </row>
    <row r="47" spans="1:19" x14ac:dyDescent="0.25">
      <c r="A47" s="338" t="s">
        <v>41</v>
      </c>
      <c r="B47" s="323" t="s">
        <v>53</v>
      </c>
      <c r="C47" s="284">
        <f t="shared" si="7"/>
        <v>4</v>
      </c>
      <c r="D47" s="285">
        <f t="shared" si="8"/>
        <v>0</v>
      </c>
      <c r="E47" s="286">
        <f t="shared" si="9"/>
        <v>0</v>
      </c>
      <c r="F47" s="324">
        <v>3</v>
      </c>
      <c r="G47" s="324"/>
      <c r="H47" s="325">
        <f t="shared" si="10"/>
        <v>0</v>
      </c>
      <c r="I47" s="326">
        <v>1</v>
      </c>
      <c r="J47" s="326"/>
      <c r="K47" s="325">
        <f t="shared" si="11"/>
        <v>0</v>
      </c>
      <c r="L47" s="327"/>
      <c r="M47" s="327"/>
      <c r="N47" s="339" t="e">
        <f t="shared" si="12"/>
        <v>#DIV/0!</v>
      </c>
      <c r="O47" s="343"/>
      <c r="P47" s="343"/>
      <c r="Q47" s="343"/>
      <c r="R47" s="343"/>
      <c r="S47" s="343"/>
    </row>
    <row r="48" spans="1:19" x14ac:dyDescent="0.25">
      <c r="A48" s="338" t="s">
        <v>16</v>
      </c>
      <c r="B48" s="323" t="s">
        <v>53</v>
      </c>
      <c r="C48" s="284">
        <f t="shared" si="7"/>
        <v>2</v>
      </c>
      <c r="D48" s="285">
        <f t="shared" si="8"/>
        <v>0</v>
      </c>
      <c r="E48" s="286">
        <f t="shared" si="9"/>
        <v>0</v>
      </c>
      <c r="F48" s="324">
        <v>2</v>
      </c>
      <c r="G48" s="324"/>
      <c r="H48" s="325">
        <f t="shared" si="10"/>
        <v>0</v>
      </c>
      <c r="I48" s="326"/>
      <c r="J48" s="326"/>
      <c r="K48" s="325" t="e">
        <f t="shared" si="11"/>
        <v>#DIV/0!</v>
      </c>
      <c r="L48" s="327"/>
      <c r="M48" s="327"/>
      <c r="N48" s="339" t="e">
        <f t="shared" si="12"/>
        <v>#DIV/0!</v>
      </c>
      <c r="O48" s="343"/>
      <c r="P48" s="343"/>
      <c r="Q48" s="343"/>
      <c r="R48" s="343"/>
      <c r="S48" s="343"/>
    </row>
    <row r="49" spans="1:19" x14ac:dyDescent="0.25">
      <c r="A49" s="338" t="s">
        <v>40</v>
      </c>
      <c r="B49" s="323" t="s">
        <v>53</v>
      </c>
      <c r="C49" s="284">
        <f t="shared" si="7"/>
        <v>1</v>
      </c>
      <c r="D49" s="285">
        <f t="shared" si="8"/>
        <v>0</v>
      </c>
      <c r="E49" s="286">
        <f t="shared" si="9"/>
        <v>0</v>
      </c>
      <c r="F49" s="324">
        <v>1</v>
      </c>
      <c r="G49" s="324"/>
      <c r="H49" s="325">
        <f t="shared" si="10"/>
        <v>0</v>
      </c>
      <c r="I49" s="326"/>
      <c r="J49" s="326"/>
      <c r="K49" s="325" t="e">
        <f t="shared" si="11"/>
        <v>#DIV/0!</v>
      </c>
      <c r="L49" s="327"/>
      <c r="M49" s="327"/>
      <c r="N49" s="339" t="e">
        <f t="shared" si="12"/>
        <v>#DIV/0!</v>
      </c>
      <c r="O49" s="343"/>
      <c r="P49" s="343"/>
      <c r="Q49" s="343"/>
      <c r="R49" s="343"/>
      <c r="S49" s="343"/>
    </row>
    <row r="50" spans="1:19" x14ac:dyDescent="0.25">
      <c r="A50" s="338" t="s">
        <v>54</v>
      </c>
      <c r="B50" s="323" t="s">
        <v>11</v>
      </c>
      <c r="C50" s="284">
        <f t="shared" si="7"/>
        <v>1</v>
      </c>
      <c r="D50" s="285">
        <f t="shared" si="8"/>
        <v>1</v>
      </c>
      <c r="E50" s="286">
        <f t="shared" si="9"/>
        <v>1</v>
      </c>
      <c r="F50" s="324"/>
      <c r="G50" s="324"/>
      <c r="H50" s="325" t="e">
        <f t="shared" si="10"/>
        <v>#DIV/0!</v>
      </c>
      <c r="I50" s="326">
        <v>1</v>
      </c>
      <c r="J50" s="326">
        <v>1</v>
      </c>
      <c r="K50" s="325">
        <f t="shared" si="11"/>
        <v>1</v>
      </c>
      <c r="L50" s="327"/>
      <c r="M50" s="327"/>
      <c r="N50" s="339" t="e">
        <f t="shared" si="12"/>
        <v>#DIV/0!</v>
      </c>
      <c r="O50" s="343"/>
      <c r="P50" s="343"/>
      <c r="Q50" s="343"/>
      <c r="R50" s="343"/>
      <c r="S50" s="343"/>
    </row>
    <row r="51" spans="1:19" x14ac:dyDescent="0.25">
      <c r="A51" s="338" t="s">
        <v>8</v>
      </c>
      <c r="B51" s="323" t="s">
        <v>11</v>
      </c>
      <c r="C51" s="284">
        <f t="shared" si="7"/>
        <v>3</v>
      </c>
      <c r="D51" s="285">
        <f t="shared" si="8"/>
        <v>0</v>
      </c>
      <c r="E51" s="286">
        <f t="shared" si="9"/>
        <v>0</v>
      </c>
      <c r="F51" s="324"/>
      <c r="G51" s="324"/>
      <c r="H51" s="325" t="e">
        <f t="shared" si="10"/>
        <v>#DIV/0!</v>
      </c>
      <c r="I51" s="326">
        <v>1</v>
      </c>
      <c r="J51" s="326"/>
      <c r="K51" s="325">
        <f t="shared" si="11"/>
        <v>0</v>
      </c>
      <c r="L51" s="327">
        <v>2</v>
      </c>
      <c r="M51" s="327"/>
      <c r="N51" s="339">
        <f t="shared" si="12"/>
        <v>0</v>
      </c>
      <c r="O51" s="343"/>
      <c r="P51" s="343"/>
      <c r="Q51" s="343"/>
      <c r="R51" s="343"/>
      <c r="S51" s="343"/>
    </row>
    <row r="52" spans="1:19" x14ac:dyDescent="0.25">
      <c r="A52" s="338" t="s">
        <v>53</v>
      </c>
      <c r="B52" s="323" t="s">
        <v>14</v>
      </c>
      <c r="C52" s="284">
        <f t="shared" si="7"/>
        <v>3</v>
      </c>
      <c r="D52" s="285">
        <f t="shared" si="8"/>
        <v>0</v>
      </c>
      <c r="E52" s="286">
        <f t="shared" si="9"/>
        <v>0</v>
      </c>
      <c r="F52" s="324">
        <v>3</v>
      </c>
      <c r="G52" s="324"/>
      <c r="H52" s="325">
        <f t="shared" si="10"/>
        <v>0</v>
      </c>
      <c r="I52" s="326"/>
      <c r="J52" s="326"/>
      <c r="K52" s="325" t="e">
        <f t="shared" si="11"/>
        <v>#DIV/0!</v>
      </c>
      <c r="L52" s="327"/>
      <c r="M52" s="327"/>
      <c r="N52" s="339" t="e">
        <f t="shared" si="12"/>
        <v>#DIV/0!</v>
      </c>
      <c r="O52" s="343"/>
      <c r="P52" s="343"/>
      <c r="Q52" s="343"/>
      <c r="R52" s="343"/>
      <c r="S52" s="343"/>
    </row>
    <row r="53" spans="1:19" x14ac:dyDescent="0.25">
      <c r="A53" s="338" t="s">
        <v>79</v>
      </c>
      <c r="B53" s="323" t="s">
        <v>16</v>
      </c>
      <c r="C53" s="284">
        <f t="shared" si="7"/>
        <v>1</v>
      </c>
      <c r="D53" s="285">
        <f t="shared" si="8"/>
        <v>1</v>
      </c>
      <c r="E53" s="286">
        <f t="shared" si="9"/>
        <v>1</v>
      </c>
      <c r="F53" s="324">
        <v>1</v>
      </c>
      <c r="G53" s="324">
        <v>1</v>
      </c>
      <c r="H53" s="325">
        <f t="shared" si="10"/>
        <v>1</v>
      </c>
      <c r="I53" s="326"/>
      <c r="J53" s="326"/>
      <c r="K53" s="325" t="e">
        <f t="shared" si="11"/>
        <v>#DIV/0!</v>
      </c>
      <c r="L53" s="327"/>
      <c r="M53" s="327"/>
      <c r="N53" s="339" t="e">
        <f t="shared" si="12"/>
        <v>#DIV/0!</v>
      </c>
      <c r="O53" s="343"/>
      <c r="P53" s="343"/>
      <c r="Q53" s="343"/>
      <c r="R53" s="343"/>
      <c r="S53" s="343"/>
    </row>
    <row r="54" spans="1:19" x14ac:dyDescent="0.25">
      <c r="A54" s="338" t="s">
        <v>41</v>
      </c>
      <c r="B54" s="323" t="s">
        <v>79</v>
      </c>
      <c r="C54" s="284">
        <f t="shared" si="7"/>
        <v>2</v>
      </c>
      <c r="D54" s="285">
        <f t="shared" si="8"/>
        <v>0</v>
      </c>
      <c r="E54" s="286">
        <f t="shared" si="9"/>
        <v>0</v>
      </c>
      <c r="F54" s="324">
        <v>2</v>
      </c>
      <c r="G54" s="324"/>
      <c r="H54" s="325">
        <f t="shared" si="10"/>
        <v>0</v>
      </c>
      <c r="I54" s="326"/>
      <c r="J54" s="326"/>
      <c r="K54" s="325" t="e">
        <f t="shared" si="11"/>
        <v>#DIV/0!</v>
      </c>
      <c r="L54" s="327"/>
      <c r="M54" s="327"/>
      <c r="N54" s="339" t="e">
        <f t="shared" si="12"/>
        <v>#DIV/0!</v>
      </c>
      <c r="O54" s="343"/>
      <c r="P54" s="343"/>
      <c r="Q54" s="343"/>
      <c r="R54" s="343"/>
      <c r="S54" s="343"/>
    </row>
    <row r="55" spans="1:19" x14ac:dyDescent="0.25">
      <c r="A55" s="338" t="s">
        <v>90</v>
      </c>
      <c r="B55" s="323" t="s">
        <v>14</v>
      </c>
      <c r="C55" s="284">
        <f t="shared" si="7"/>
        <v>1</v>
      </c>
      <c r="D55" s="285">
        <f t="shared" si="8"/>
        <v>0</v>
      </c>
      <c r="E55" s="286">
        <f t="shared" si="9"/>
        <v>0</v>
      </c>
      <c r="F55" s="324">
        <v>1</v>
      </c>
      <c r="G55" s="324"/>
      <c r="H55" s="325">
        <f t="shared" si="10"/>
        <v>0</v>
      </c>
      <c r="I55" s="326"/>
      <c r="J55" s="326"/>
      <c r="K55" s="325" t="e">
        <f t="shared" si="11"/>
        <v>#DIV/0!</v>
      </c>
      <c r="L55" s="327"/>
      <c r="M55" s="327"/>
      <c r="N55" s="339" t="e">
        <f t="shared" si="12"/>
        <v>#DIV/0!</v>
      </c>
      <c r="O55" s="343"/>
      <c r="P55" s="343"/>
      <c r="Q55" s="343"/>
      <c r="R55" s="343"/>
      <c r="S55" s="343"/>
    </row>
    <row r="56" spans="1:19" x14ac:dyDescent="0.25">
      <c r="A56" s="338" t="s">
        <v>90</v>
      </c>
      <c r="B56" s="323" t="s">
        <v>16</v>
      </c>
      <c r="C56" s="284">
        <f t="shared" si="7"/>
        <v>2</v>
      </c>
      <c r="D56" s="285">
        <f t="shared" si="8"/>
        <v>2</v>
      </c>
      <c r="E56" s="286">
        <f t="shared" si="9"/>
        <v>1</v>
      </c>
      <c r="F56" s="324">
        <v>2</v>
      </c>
      <c r="G56" s="324">
        <v>2</v>
      </c>
      <c r="H56" s="325">
        <f t="shared" si="10"/>
        <v>1</v>
      </c>
      <c r="I56" s="326"/>
      <c r="J56" s="326"/>
      <c r="K56" s="325" t="e">
        <f t="shared" si="11"/>
        <v>#DIV/0!</v>
      </c>
      <c r="L56" s="327"/>
      <c r="M56" s="327"/>
      <c r="N56" s="339" t="e">
        <f t="shared" si="12"/>
        <v>#DIV/0!</v>
      </c>
      <c r="O56" s="343"/>
      <c r="P56" s="343"/>
      <c r="Q56" s="343"/>
      <c r="R56" s="343"/>
      <c r="S56" s="343"/>
    </row>
    <row r="57" spans="1:19" x14ac:dyDescent="0.25">
      <c r="A57" s="338" t="s">
        <v>7</v>
      </c>
      <c r="B57" s="323" t="s">
        <v>53</v>
      </c>
      <c r="C57" s="284">
        <f t="shared" ref="C57:D62" si="13">SUM(F57,I57,L57)</f>
        <v>3</v>
      </c>
      <c r="D57" s="285">
        <f t="shared" si="13"/>
        <v>1</v>
      </c>
      <c r="E57" s="286">
        <f t="shared" ref="E57:E62" si="14">D57/C57</f>
        <v>0.33333333333333331</v>
      </c>
      <c r="F57" s="324">
        <v>3</v>
      </c>
      <c r="G57" s="324">
        <v>1</v>
      </c>
      <c r="H57" s="325">
        <f t="shared" ref="H57:H62" si="15">G57/F57</f>
        <v>0.33333333333333331</v>
      </c>
      <c r="I57" s="326"/>
      <c r="J57" s="326"/>
      <c r="K57" s="325" t="e">
        <f t="shared" ref="K57:K62" si="16">J57/I57</f>
        <v>#DIV/0!</v>
      </c>
      <c r="L57" s="327"/>
      <c r="M57" s="327"/>
      <c r="N57" s="339" t="e">
        <f t="shared" ref="N57:N62" si="17">M57/L57</f>
        <v>#DIV/0!</v>
      </c>
      <c r="O57" s="343"/>
      <c r="P57" s="343"/>
      <c r="Q57" s="343"/>
      <c r="R57" s="343"/>
      <c r="S57" s="343"/>
    </row>
    <row r="58" spans="1:19" x14ac:dyDescent="0.25">
      <c r="A58" s="338" t="s">
        <v>8</v>
      </c>
      <c r="B58" s="323" t="s">
        <v>41</v>
      </c>
      <c r="C58" s="284">
        <f t="shared" si="13"/>
        <v>3</v>
      </c>
      <c r="D58" s="285">
        <f t="shared" si="13"/>
        <v>1</v>
      </c>
      <c r="E58" s="286">
        <f t="shared" si="14"/>
        <v>0.33333333333333331</v>
      </c>
      <c r="F58" s="324">
        <v>2</v>
      </c>
      <c r="G58" s="324"/>
      <c r="H58" s="325">
        <f t="shared" si="15"/>
        <v>0</v>
      </c>
      <c r="I58" s="326"/>
      <c r="J58" s="326"/>
      <c r="K58" s="325" t="e">
        <f t="shared" si="16"/>
        <v>#DIV/0!</v>
      </c>
      <c r="L58" s="327">
        <v>1</v>
      </c>
      <c r="M58" s="327">
        <v>1</v>
      </c>
      <c r="N58" s="339">
        <f t="shared" si="17"/>
        <v>1</v>
      </c>
      <c r="O58" s="343"/>
      <c r="P58" s="343"/>
      <c r="Q58" s="343"/>
      <c r="R58" s="343"/>
      <c r="S58" s="343"/>
    </row>
    <row r="59" spans="1:19" x14ac:dyDescent="0.25">
      <c r="A59" s="338" t="s">
        <v>8</v>
      </c>
      <c r="B59" s="323" t="s">
        <v>40</v>
      </c>
      <c r="C59" s="284">
        <f t="shared" si="13"/>
        <v>2</v>
      </c>
      <c r="D59" s="285">
        <f t="shared" si="13"/>
        <v>0</v>
      </c>
      <c r="E59" s="286">
        <f t="shared" si="14"/>
        <v>0</v>
      </c>
      <c r="F59" s="324">
        <v>1</v>
      </c>
      <c r="G59" s="324"/>
      <c r="H59" s="325">
        <f t="shared" si="15"/>
        <v>0</v>
      </c>
      <c r="I59" s="326"/>
      <c r="J59" s="326"/>
      <c r="K59" s="325" t="e">
        <f t="shared" si="16"/>
        <v>#DIV/0!</v>
      </c>
      <c r="L59" s="327">
        <v>1</v>
      </c>
      <c r="M59" s="327"/>
      <c r="N59" s="339">
        <f t="shared" si="17"/>
        <v>0</v>
      </c>
      <c r="O59" s="343"/>
      <c r="P59" s="343"/>
      <c r="Q59" s="343"/>
      <c r="R59" s="343"/>
      <c r="S59" s="343"/>
    </row>
    <row r="60" spans="1:19" x14ac:dyDescent="0.25">
      <c r="A60" s="338" t="s">
        <v>69</v>
      </c>
      <c r="B60" s="323" t="s">
        <v>7</v>
      </c>
      <c r="C60" s="284">
        <f t="shared" si="13"/>
        <v>1</v>
      </c>
      <c r="D60" s="285">
        <f t="shared" si="13"/>
        <v>0</v>
      </c>
      <c r="E60" s="286">
        <f t="shared" si="14"/>
        <v>0</v>
      </c>
      <c r="F60" s="324">
        <v>1</v>
      </c>
      <c r="G60" s="324"/>
      <c r="H60" s="325">
        <f t="shared" si="15"/>
        <v>0</v>
      </c>
      <c r="I60" s="326"/>
      <c r="J60" s="326"/>
      <c r="K60" s="325" t="e">
        <f t="shared" si="16"/>
        <v>#DIV/0!</v>
      </c>
      <c r="L60" s="327"/>
      <c r="M60" s="327"/>
      <c r="N60" s="339" t="e">
        <f t="shared" si="17"/>
        <v>#DIV/0!</v>
      </c>
      <c r="O60" s="343"/>
      <c r="P60" s="343"/>
      <c r="Q60" s="343"/>
      <c r="R60" s="343"/>
      <c r="S60" s="343"/>
    </row>
    <row r="61" spans="1:19" x14ac:dyDescent="0.25">
      <c r="A61" s="338" t="s">
        <v>69</v>
      </c>
      <c r="B61" s="323" t="s">
        <v>11</v>
      </c>
      <c r="C61" s="284">
        <f t="shared" si="13"/>
        <v>1</v>
      </c>
      <c r="D61" s="285">
        <f t="shared" si="13"/>
        <v>0</v>
      </c>
      <c r="E61" s="286">
        <f t="shared" si="14"/>
        <v>0</v>
      </c>
      <c r="F61" s="324">
        <v>1</v>
      </c>
      <c r="G61" s="324"/>
      <c r="H61" s="325">
        <f t="shared" si="15"/>
        <v>0</v>
      </c>
      <c r="I61" s="326"/>
      <c r="J61" s="326"/>
      <c r="K61" s="325" t="e">
        <f t="shared" si="16"/>
        <v>#DIV/0!</v>
      </c>
      <c r="L61" s="327"/>
      <c r="M61" s="327"/>
      <c r="N61" s="339" t="e">
        <f t="shared" si="17"/>
        <v>#DIV/0!</v>
      </c>
      <c r="O61" s="343"/>
      <c r="P61" s="343"/>
      <c r="Q61" s="343"/>
      <c r="R61" s="343"/>
      <c r="S61" s="343"/>
    </row>
    <row r="62" spans="1:19" x14ac:dyDescent="0.25">
      <c r="A62" s="338" t="s">
        <v>69</v>
      </c>
      <c r="B62" s="323" t="s">
        <v>40</v>
      </c>
      <c r="C62" s="284">
        <f t="shared" si="13"/>
        <v>2</v>
      </c>
      <c r="D62" s="285">
        <f t="shared" si="13"/>
        <v>0</v>
      </c>
      <c r="E62" s="286">
        <f t="shared" si="14"/>
        <v>0</v>
      </c>
      <c r="F62" s="324">
        <v>2</v>
      </c>
      <c r="G62" s="324"/>
      <c r="H62" s="325">
        <f t="shared" si="15"/>
        <v>0</v>
      </c>
      <c r="I62" s="326"/>
      <c r="J62" s="326"/>
      <c r="K62" s="325" t="e">
        <f t="shared" si="16"/>
        <v>#DIV/0!</v>
      </c>
      <c r="L62" s="327"/>
      <c r="M62" s="327"/>
      <c r="N62" s="339" t="e">
        <f t="shared" si="17"/>
        <v>#DIV/0!</v>
      </c>
      <c r="O62" s="343"/>
      <c r="P62" s="343"/>
      <c r="Q62" s="343"/>
      <c r="R62" s="343"/>
      <c r="S62" s="343"/>
    </row>
    <row r="63" spans="1:19" x14ac:dyDescent="0.25">
      <c r="A63" s="338" t="s">
        <v>7</v>
      </c>
      <c r="B63" s="323" t="s">
        <v>55</v>
      </c>
      <c r="C63" s="284">
        <f t="shared" ref="C63:C69" si="18">SUM(F63,I63,L63)</f>
        <v>1</v>
      </c>
      <c r="D63" s="285">
        <f t="shared" ref="D63:D69" si="19">SUM(G63,J63,M63)</f>
        <v>0</v>
      </c>
      <c r="E63" s="286">
        <f t="shared" ref="E63:E69" si="20">D63/C63</f>
        <v>0</v>
      </c>
      <c r="F63" s="324">
        <v>1</v>
      </c>
      <c r="G63" s="324"/>
      <c r="H63" s="325">
        <f t="shared" ref="H63:H69" si="21">G63/F63</f>
        <v>0</v>
      </c>
      <c r="I63" s="326"/>
      <c r="J63" s="326"/>
      <c r="K63" s="325" t="e">
        <f t="shared" ref="K63:K69" si="22">J63/I63</f>
        <v>#DIV/0!</v>
      </c>
      <c r="L63" s="327"/>
      <c r="M63" s="327"/>
      <c r="N63" s="339" t="e">
        <f t="shared" ref="N63:N69" si="23">M63/L63</f>
        <v>#DIV/0!</v>
      </c>
      <c r="O63" s="343"/>
      <c r="P63" s="343"/>
      <c r="Q63" s="343"/>
      <c r="R63" s="343"/>
      <c r="S63" s="343"/>
    </row>
    <row r="64" spans="1:19" x14ac:dyDescent="0.25">
      <c r="A64" s="338" t="s">
        <v>71</v>
      </c>
      <c r="B64" s="323" t="s">
        <v>90</v>
      </c>
      <c r="C64" s="284">
        <f t="shared" si="18"/>
        <v>1</v>
      </c>
      <c r="D64" s="285">
        <f t="shared" si="19"/>
        <v>1</v>
      </c>
      <c r="E64" s="286">
        <f t="shared" si="20"/>
        <v>1</v>
      </c>
      <c r="F64" s="324">
        <v>1</v>
      </c>
      <c r="G64" s="324">
        <v>1</v>
      </c>
      <c r="H64" s="325">
        <f t="shared" si="21"/>
        <v>1</v>
      </c>
      <c r="I64" s="326"/>
      <c r="J64" s="326"/>
      <c r="K64" s="325" t="e">
        <f t="shared" si="22"/>
        <v>#DIV/0!</v>
      </c>
      <c r="L64" s="327"/>
      <c r="M64" s="327"/>
      <c r="N64" s="339" t="e">
        <f t="shared" si="23"/>
        <v>#DIV/0!</v>
      </c>
      <c r="O64" s="343"/>
      <c r="P64" s="343"/>
      <c r="Q64" s="343"/>
      <c r="R64" s="343"/>
      <c r="S64" s="343"/>
    </row>
    <row r="65" spans="1:19" x14ac:dyDescent="0.25">
      <c r="A65" s="338" t="s">
        <v>90</v>
      </c>
      <c r="B65" s="323" t="s">
        <v>66</v>
      </c>
      <c r="C65" s="284">
        <f t="shared" si="18"/>
        <v>2</v>
      </c>
      <c r="D65" s="285">
        <f t="shared" si="19"/>
        <v>0</v>
      </c>
      <c r="E65" s="286">
        <f t="shared" si="20"/>
        <v>0</v>
      </c>
      <c r="F65" s="324">
        <v>2</v>
      </c>
      <c r="G65" s="324"/>
      <c r="H65" s="325">
        <f t="shared" si="21"/>
        <v>0</v>
      </c>
      <c r="I65" s="326"/>
      <c r="J65" s="326"/>
      <c r="K65" s="325" t="e">
        <f t="shared" si="22"/>
        <v>#DIV/0!</v>
      </c>
      <c r="L65" s="327"/>
      <c r="M65" s="327"/>
      <c r="N65" s="339" t="e">
        <f t="shared" si="23"/>
        <v>#DIV/0!</v>
      </c>
      <c r="O65" s="343"/>
      <c r="P65" s="343"/>
      <c r="Q65" s="343"/>
      <c r="R65" s="343"/>
      <c r="S65" s="343"/>
    </row>
    <row r="66" spans="1:19" x14ac:dyDescent="0.25">
      <c r="A66" s="338" t="s">
        <v>71</v>
      </c>
      <c r="B66" s="323" t="s">
        <v>53</v>
      </c>
      <c r="C66" s="284">
        <f t="shared" si="18"/>
        <v>1</v>
      </c>
      <c r="D66" s="285">
        <f t="shared" si="19"/>
        <v>0</v>
      </c>
      <c r="E66" s="286">
        <f t="shared" si="20"/>
        <v>0</v>
      </c>
      <c r="F66" s="324">
        <v>1</v>
      </c>
      <c r="G66" s="324"/>
      <c r="H66" s="325">
        <f t="shared" si="21"/>
        <v>0</v>
      </c>
      <c r="I66" s="326"/>
      <c r="J66" s="326"/>
      <c r="K66" s="325" t="e">
        <f t="shared" si="22"/>
        <v>#DIV/0!</v>
      </c>
      <c r="L66" s="327"/>
      <c r="M66" s="327"/>
      <c r="N66" s="339" t="e">
        <f t="shared" si="23"/>
        <v>#DIV/0!</v>
      </c>
      <c r="O66" s="343"/>
      <c r="P66" s="343"/>
      <c r="Q66" s="343"/>
      <c r="R66" s="343"/>
      <c r="S66" s="343"/>
    </row>
    <row r="67" spans="1:19" x14ac:dyDescent="0.25">
      <c r="A67" s="338" t="s">
        <v>41</v>
      </c>
      <c r="B67" s="323" t="s">
        <v>90</v>
      </c>
      <c r="C67" s="284">
        <f t="shared" si="18"/>
        <v>1</v>
      </c>
      <c r="D67" s="285">
        <f t="shared" si="19"/>
        <v>1</v>
      </c>
      <c r="E67" s="286">
        <f t="shared" si="20"/>
        <v>1</v>
      </c>
      <c r="F67" s="324">
        <v>1</v>
      </c>
      <c r="G67" s="324">
        <v>1</v>
      </c>
      <c r="H67" s="325">
        <f t="shared" si="21"/>
        <v>1</v>
      </c>
      <c r="I67" s="326"/>
      <c r="J67" s="326"/>
      <c r="K67" s="325" t="e">
        <f t="shared" si="22"/>
        <v>#DIV/0!</v>
      </c>
      <c r="L67" s="327"/>
      <c r="M67" s="327"/>
      <c r="N67" s="339" t="e">
        <f t="shared" si="23"/>
        <v>#DIV/0!</v>
      </c>
      <c r="O67" s="343"/>
      <c r="P67" s="343"/>
      <c r="Q67" s="343"/>
      <c r="R67" s="343"/>
      <c r="S67" s="343"/>
    </row>
    <row r="68" spans="1:19" x14ac:dyDescent="0.25">
      <c r="A68" s="338" t="s">
        <v>79</v>
      </c>
      <c r="B68" s="323" t="s">
        <v>66</v>
      </c>
      <c r="C68" s="284">
        <f t="shared" si="18"/>
        <v>1</v>
      </c>
      <c r="D68" s="285">
        <f t="shared" si="19"/>
        <v>0</v>
      </c>
      <c r="E68" s="286">
        <f t="shared" si="20"/>
        <v>0</v>
      </c>
      <c r="F68" s="324">
        <v>1</v>
      </c>
      <c r="G68" s="324"/>
      <c r="H68" s="325">
        <f t="shared" si="21"/>
        <v>0</v>
      </c>
      <c r="I68" s="326"/>
      <c r="J68" s="326"/>
      <c r="K68" s="325" t="e">
        <f t="shared" si="22"/>
        <v>#DIV/0!</v>
      </c>
      <c r="L68" s="327"/>
      <c r="M68" s="327"/>
      <c r="N68" s="339" t="e">
        <f t="shared" si="23"/>
        <v>#DIV/0!</v>
      </c>
      <c r="O68" s="343"/>
      <c r="P68" s="343"/>
      <c r="Q68" s="343"/>
      <c r="R68" s="343"/>
      <c r="S68" s="343"/>
    </row>
    <row r="69" spans="1:19" x14ac:dyDescent="0.25">
      <c r="A69" s="338" t="s">
        <v>71</v>
      </c>
      <c r="B69" s="323" t="s">
        <v>41</v>
      </c>
      <c r="C69" s="284">
        <f t="shared" si="18"/>
        <v>2</v>
      </c>
      <c r="D69" s="285">
        <f t="shared" si="19"/>
        <v>1</v>
      </c>
      <c r="E69" s="286">
        <f t="shared" si="20"/>
        <v>0.5</v>
      </c>
      <c r="F69" s="324">
        <v>2</v>
      </c>
      <c r="G69" s="324">
        <v>1</v>
      </c>
      <c r="H69" s="325">
        <f t="shared" si="21"/>
        <v>0.5</v>
      </c>
      <c r="I69" s="326"/>
      <c r="J69" s="326"/>
      <c r="K69" s="325" t="e">
        <f t="shared" si="22"/>
        <v>#DIV/0!</v>
      </c>
      <c r="L69" s="327"/>
      <c r="M69" s="327"/>
      <c r="N69" s="339" t="e">
        <f t="shared" si="23"/>
        <v>#DIV/0!</v>
      </c>
      <c r="O69" s="343"/>
      <c r="P69" s="343"/>
      <c r="Q69" s="343"/>
      <c r="R69" s="343"/>
      <c r="S69" s="343"/>
    </row>
    <row r="70" spans="1:19" x14ac:dyDescent="0.25">
      <c r="A70" s="338" t="s">
        <v>55</v>
      </c>
      <c r="B70" s="323" t="s">
        <v>53</v>
      </c>
      <c r="C70" s="284">
        <f>SUM(F70,I70,L70)</f>
        <v>2</v>
      </c>
      <c r="D70" s="285">
        <f>SUM(G70,J70,M70)</f>
        <v>0</v>
      </c>
      <c r="E70" s="286">
        <f>D70/C70</f>
        <v>0</v>
      </c>
      <c r="F70" s="324">
        <v>2</v>
      </c>
      <c r="G70" s="324"/>
      <c r="H70" s="325">
        <f>G70/F70</f>
        <v>0</v>
      </c>
      <c r="I70" s="326"/>
      <c r="J70" s="326"/>
      <c r="K70" s="325" t="e">
        <f>J70/I70</f>
        <v>#DIV/0!</v>
      </c>
      <c r="L70" s="327"/>
      <c r="M70" s="327"/>
      <c r="N70" s="339" t="e">
        <f>M70/L70</f>
        <v>#DIV/0!</v>
      </c>
      <c r="O70" s="343"/>
      <c r="P70" s="343"/>
      <c r="Q70" s="343"/>
      <c r="R70" s="343"/>
      <c r="S70" s="343"/>
    </row>
    <row r="71" spans="1:19" x14ac:dyDescent="0.25">
      <c r="A71" s="338" t="s">
        <v>66</v>
      </c>
      <c r="B71" s="323" t="s">
        <v>53</v>
      </c>
      <c r="C71" s="284">
        <f t="shared" ref="C71:C75" si="24">SUM(F71,I71,L71)</f>
        <v>1</v>
      </c>
      <c r="D71" s="285">
        <f t="shared" ref="D71:D75" si="25">SUM(G71,J71,M71)</f>
        <v>0</v>
      </c>
      <c r="E71" s="286">
        <f t="shared" ref="E71:E75" si="26">D71/C71</f>
        <v>0</v>
      </c>
      <c r="F71" s="324">
        <v>1</v>
      </c>
      <c r="G71" s="324"/>
      <c r="H71" s="325">
        <f t="shared" ref="H71:H75" si="27">G71/F71</f>
        <v>0</v>
      </c>
      <c r="I71" s="326"/>
      <c r="J71" s="326"/>
      <c r="K71" s="325" t="e">
        <f t="shared" ref="K71:K75" si="28">J71/I71</f>
        <v>#DIV/0!</v>
      </c>
      <c r="L71" s="327"/>
      <c r="M71" s="327"/>
      <c r="N71" s="339" t="e">
        <f t="shared" ref="N71:N75" si="29">M71/L71</f>
        <v>#DIV/0!</v>
      </c>
      <c r="O71" s="343"/>
      <c r="P71" s="343"/>
      <c r="Q71" s="343"/>
      <c r="R71" s="343"/>
      <c r="S71" s="343"/>
    </row>
    <row r="72" spans="1:19" x14ac:dyDescent="0.25">
      <c r="A72" s="338" t="s">
        <v>55</v>
      </c>
      <c r="B72" s="323" t="s">
        <v>11</v>
      </c>
      <c r="C72" s="284">
        <f t="shared" si="24"/>
        <v>2</v>
      </c>
      <c r="D72" s="285">
        <f t="shared" si="25"/>
        <v>1</v>
      </c>
      <c r="E72" s="286">
        <f t="shared" si="26"/>
        <v>0.5</v>
      </c>
      <c r="F72" s="324">
        <v>2</v>
      </c>
      <c r="G72" s="324">
        <v>1</v>
      </c>
      <c r="H72" s="325">
        <f t="shared" si="27"/>
        <v>0.5</v>
      </c>
      <c r="I72" s="326"/>
      <c r="J72" s="326"/>
      <c r="K72" s="325" t="e">
        <f t="shared" si="28"/>
        <v>#DIV/0!</v>
      </c>
      <c r="L72" s="327"/>
      <c r="M72" s="327"/>
      <c r="N72" s="339" t="e">
        <f t="shared" si="29"/>
        <v>#DIV/0!</v>
      </c>
      <c r="O72" s="343"/>
      <c r="P72" s="343"/>
      <c r="Q72" s="343"/>
      <c r="R72" s="343"/>
      <c r="S72" s="343"/>
    </row>
    <row r="73" spans="1:19" x14ac:dyDescent="0.25">
      <c r="A73" s="338" t="s">
        <v>55</v>
      </c>
      <c r="B73" s="323" t="s">
        <v>66</v>
      </c>
      <c r="C73" s="284">
        <f t="shared" si="24"/>
        <v>1</v>
      </c>
      <c r="D73" s="285">
        <f t="shared" si="25"/>
        <v>0</v>
      </c>
      <c r="E73" s="286">
        <f t="shared" si="26"/>
        <v>0</v>
      </c>
      <c r="F73" s="324">
        <v>1</v>
      </c>
      <c r="G73" s="324"/>
      <c r="H73" s="325">
        <f t="shared" si="27"/>
        <v>0</v>
      </c>
      <c r="I73" s="326"/>
      <c r="J73" s="326"/>
      <c r="K73" s="325" t="e">
        <f t="shared" si="28"/>
        <v>#DIV/0!</v>
      </c>
      <c r="L73" s="327"/>
      <c r="M73" s="327"/>
      <c r="N73" s="339" t="e">
        <f t="shared" si="29"/>
        <v>#DIV/0!</v>
      </c>
      <c r="O73" s="343"/>
      <c r="P73" s="343"/>
      <c r="Q73" s="343"/>
      <c r="R73" s="343"/>
      <c r="S73" s="343"/>
    </row>
    <row r="74" spans="1:19" x14ac:dyDescent="0.25">
      <c r="A74" s="338" t="s">
        <v>11</v>
      </c>
      <c r="B74" s="323" t="s">
        <v>53</v>
      </c>
      <c r="C74" s="284">
        <f t="shared" si="24"/>
        <v>1</v>
      </c>
      <c r="D74" s="285">
        <f t="shared" si="25"/>
        <v>0</v>
      </c>
      <c r="E74" s="286">
        <f t="shared" si="26"/>
        <v>0</v>
      </c>
      <c r="F74" s="324">
        <v>1</v>
      </c>
      <c r="G74" s="324"/>
      <c r="H74" s="325">
        <f t="shared" si="27"/>
        <v>0</v>
      </c>
      <c r="I74" s="326"/>
      <c r="J74" s="326"/>
      <c r="K74" s="325" t="e">
        <f t="shared" si="28"/>
        <v>#DIV/0!</v>
      </c>
      <c r="L74" s="327"/>
      <c r="M74" s="327"/>
      <c r="N74" s="339" t="e">
        <f t="shared" si="29"/>
        <v>#DIV/0!</v>
      </c>
      <c r="O74" s="343"/>
      <c r="P74" s="343"/>
      <c r="Q74" s="343"/>
      <c r="R74" s="343"/>
      <c r="S74" s="343"/>
    </row>
    <row r="75" spans="1:19" x14ac:dyDescent="0.25">
      <c r="A75" s="340" t="s">
        <v>41</v>
      </c>
      <c r="B75" s="328" t="s">
        <v>40</v>
      </c>
      <c r="C75" s="329">
        <f t="shared" si="24"/>
        <v>1</v>
      </c>
      <c r="D75" s="330">
        <f t="shared" si="25"/>
        <v>1</v>
      </c>
      <c r="E75" s="331">
        <f t="shared" si="26"/>
        <v>1</v>
      </c>
      <c r="F75" s="332">
        <v>1</v>
      </c>
      <c r="G75" s="332">
        <v>1</v>
      </c>
      <c r="H75" s="333">
        <f t="shared" si="27"/>
        <v>1</v>
      </c>
      <c r="I75" s="334"/>
      <c r="J75" s="334"/>
      <c r="K75" s="333" t="e">
        <f t="shared" si="28"/>
        <v>#DIV/0!</v>
      </c>
      <c r="L75" s="335"/>
      <c r="M75" s="335"/>
      <c r="N75" s="341" t="e">
        <f t="shared" si="29"/>
        <v>#DIV/0!</v>
      </c>
      <c r="O75" s="343"/>
      <c r="P75" s="343"/>
      <c r="Q75" s="343"/>
      <c r="R75" s="343"/>
      <c r="S75" s="343"/>
    </row>
    <row r="76" spans="1:19" x14ac:dyDescent="0.25">
      <c r="C76" s="287"/>
      <c r="D76" s="287"/>
    </row>
    <row r="77" spans="1:19" x14ac:dyDescent="0.25">
      <c r="C77" s="287"/>
      <c r="D77" s="287"/>
    </row>
    <row r="78" spans="1:19" x14ac:dyDescent="0.25">
      <c r="C78" s="287"/>
      <c r="D78" s="287"/>
    </row>
    <row r="79" spans="1:19" x14ac:dyDescent="0.25">
      <c r="C79" s="287"/>
      <c r="D79" s="287"/>
    </row>
    <row r="80" spans="1:19" x14ac:dyDescent="0.25">
      <c r="C80" s="287"/>
      <c r="D80" s="287"/>
    </row>
    <row r="81" spans="3:4" x14ac:dyDescent="0.25">
      <c r="C81" s="287"/>
      <c r="D81" s="287"/>
    </row>
    <row r="82" spans="3:4" x14ac:dyDescent="0.25">
      <c r="C82" s="287"/>
      <c r="D82" s="287"/>
    </row>
    <row r="83" spans="3:4" x14ac:dyDescent="0.25">
      <c r="C83" s="287"/>
      <c r="D83" s="287"/>
    </row>
    <row r="84" spans="3:4" x14ac:dyDescent="0.25">
      <c r="C84" s="287"/>
      <c r="D84" s="287"/>
    </row>
    <row r="85" spans="3:4" x14ac:dyDescent="0.25">
      <c r="C85" s="287"/>
      <c r="D85" s="287"/>
    </row>
    <row r="86" spans="3:4" x14ac:dyDescent="0.25">
      <c r="C86" s="287"/>
      <c r="D86" s="287"/>
    </row>
    <row r="87" spans="3:4" x14ac:dyDescent="0.25">
      <c r="C87" s="287"/>
      <c r="D87" s="287"/>
    </row>
    <row r="88" spans="3:4" x14ac:dyDescent="0.25">
      <c r="C88" s="287"/>
      <c r="D88" s="287"/>
    </row>
    <row r="89" spans="3:4" x14ac:dyDescent="0.25">
      <c r="C89" s="287"/>
      <c r="D89" s="287"/>
    </row>
    <row r="90" spans="3:4" x14ac:dyDescent="0.25">
      <c r="C90" s="287"/>
      <c r="D90" s="287"/>
    </row>
    <row r="91" spans="3:4" x14ac:dyDescent="0.25">
      <c r="C91" s="287"/>
      <c r="D91" s="287"/>
    </row>
    <row r="92" spans="3:4" x14ac:dyDescent="0.25">
      <c r="C92" s="287"/>
      <c r="D92" s="287"/>
    </row>
    <row r="93" spans="3:4" x14ac:dyDescent="0.25">
      <c r="C93" s="287"/>
      <c r="D93" s="287"/>
    </row>
    <row r="94" spans="3:4" x14ac:dyDescent="0.25">
      <c r="C94" s="287"/>
      <c r="D94" s="287"/>
    </row>
    <row r="95" spans="3:4" x14ac:dyDescent="0.25">
      <c r="C95" s="287"/>
      <c r="D95" s="287"/>
    </row>
    <row r="96" spans="3:4" x14ac:dyDescent="0.25">
      <c r="C96" s="287"/>
      <c r="D96" s="287"/>
    </row>
    <row r="97" spans="3:4" x14ac:dyDescent="0.25">
      <c r="C97" s="287"/>
      <c r="D97" s="287"/>
    </row>
    <row r="98" spans="3:4" x14ac:dyDescent="0.25">
      <c r="C98" s="287"/>
      <c r="D98" s="287"/>
    </row>
    <row r="99" spans="3:4" x14ac:dyDescent="0.25">
      <c r="C99" s="287"/>
      <c r="D99" s="287"/>
    </row>
    <row r="100" spans="3:4" x14ac:dyDescent="0.25">
      <c r="C100" s="287"/>
      <c r="D100" s="287"/>
    </row>
    <row r="101" spans="3:4" x14ac:dyDescent="0.25">
      <c r="C101" s="287"/>
      <c r="D101" s="287"/>
    </row>
    <row r="102" spans="3:4" x14ac:dyDescent="0.25">
      <c r="C102" s="287"/>
      <c r="D102" s="287"/>
    </row>
    <row r="103" spans="3:4" x14ac:dyDescent="0.25">
      <c r="C103" s="287"/>
      <c r="D103" s="287"/>
    </row>
    <row r="104" spans="3:4" x14ac:dyDescent="0.25">
      <c r="C104" s="287"/>
      <c r="D104" s="287"/>
    </row>
    <row r="105" spans="3:4" x14ac:dyDescent="0.25">
      <c r="C105" s="287"/>
      <c r="D105" s="287"/>
    </row>
    <row r="106" spans="3:4" x14ac:dyDescent="0.25">
      <c r="C106" s="287"/>
      <c r="D106" s="287"/>
    </row>
    <row r="107" spans="3:4" x14ac:dyDescent="0.25">
      <c r="C107" s="287"/>
      <c r="D107" s="287"/>
    </row>
    <row r="108" spans="3:4" x14ac:dyDescent="0.25">
      <c r="C108" s="287"/>
      <c r="D108" s="287"/>
    </row>
    <row r="109" spans="3:4" x14ac:dyDescent="0.25">
      <c r="C109" s="287"/>
      <c r="D109" s="287"/>
    </row>
    <row r="110" spans="3:4" x14ac:dyDescent="0.25">
      <c r="C110" s="287"/>
      <c r="D110" s="287"/>
    </row>
    <row r="111" spans="3:4" x14ac:dyDescent="0.25">
      <c r="C111" s="287"/>
      <c r="D111" s="287"/>
    </row>
    <row r="112" spans="3:4" x14ac:dyDescent="0.25">
      <c r="C112" s="287"/>
      <c r="D112" s="287"/>
    </row>
    <row r="113" spans="3:4" x14ac:dyDescent="0.25">
      <c r="C113" s="287"/>
      <c r="D113" s="287"/>
    </row>
    <row r="114" spans="3:4" x14ac:dyDescent="0.25">
      <c r="C114" s="287"/>
      <c r="D114" s="287"/>
    </row>
    <row r="115" spans="3:4" x14ac:dyDescent="0.25">
      <c r="C115" s="287"/>
      <c r="D115" s="287"/>
    </row>
    <row r="116" spans="3:4" x14ac:dyDescent="0.25">
      <c r="C116" s="287"/>
      <c r="D116" s="287"/>
    </row>
    <row r="117" spans="3:4" x14ac:dyDescent="0.25">
      <c r="C117" s="287"/>
      <c r="D117" s="287"/>
    </row>
    <row r="118" spans="3:4" x14ac:dyDescent="0.25">
      <c r="C118" s="287"/>
      <c r="D118" s="287"/>
    </row>
    <row r="119" spans="3:4" x14ac:dyDescent="0.25">
      <c r="C119" s="287"/>
      <c r="D119" s="287"/>
    </row>
    <row r="120" spans="3:4" x14ac:dyDescent="0.25">
      <c r="C120" s="287"/>
      <c r="D120" s="287"/>
    </row>
    <row r="121" spans="3:4" x14ac:dyDescent="0.25">
      <c r="C121" s="287"/>
      <c r="D121" s="287"/>
    </row>
    <row r="122" spans="3:4" x14ac:dyDescent="0.25">
      <c r="C122" s="287"/>
      <c r="D122" s="287"/>
    </row>
    <row r="123" spans="3:4" x14ac:dyDescent="0.25">
      <c r="C123" s="287"/>
      <c r="D123" s="287"/>
    </row>
    <row r="124" spans="3:4" x14ac:dyDescent="0.25">
      <c r="C124" s="287"/>
      <c r="D124" s="287"/>
    </row>
    <row r="125" spans="3:4" x14ac:dyDescent="0.25">
      <c r="C125" s="287"/>
      <c r="D125" s="287"/>
    </row>
    <row r="126" spans="3:4" x14ac:dyDescent="0.25">
      <c r="C126" s="287"/>
      <c r="D126" s="287"/>
    </row>
    <row r="127" spans="3:4" x14ac:dyDescent="0.25">
      <c r="C127" s="287"/>
      <c r="D127" s="287"/>
    </row>
    <row r="128" spans="3:4" x14ac:dyDescent="0.25">
      <c r="C128" s="287"/>
      <c r="D128" s="287"/>
    </row>
    <row r="129" spans="3:4" x14ac:dyDescent="0.25">
      <c r="C129" s="287"/>
      <c r="D129" s="287"/>
    </row>
    <row r="130" spans="3:4" x14ac:dyDescent="0.25">
      <c r="C130" s="287"/>
      <c r="D130" s="287"/>
    </row>
    <row r="131" spans="3:4" x14ac:dyDescent="0.25">
      <c r="C131" s="287"/>
      <c r="D131" s="287"/>
    </row>
    <row r="132" spans="3:4" x14ac:dyDescent="0.25">
      <c r="C132" s="287"/>
      <c r="D132" s="287"/>
    </row>
    <row r="133" spans="3:4" x14ac:dyDescent="0.25">
      <c r="C133" s="287"/>
      <c r="D133" s="287"/>
    </row>
    <row r="134" spans="3:4" x14ac:dyDescent="0.25">
      <c r="C134" s="287"/>
      <c r="D134" s="287"/>
    </row>
    <row r="135" spans="3:4" x14ac:dyDescent="0.25">
      <c r="C135" s="287"/>
      <c r="D135" s="287"/>
    </row>
    <row r="136" spans="3:4" x14ac:dyDescent="0.25">
      <c r="C136" s="287"/>
      <c r="D136" s="287"/>
    </row>
    <row r="137" spans="3:4" x14ac:dyDescent="0.25">
      <c r="C137" s="287"/>
      <c r="D137" s="287"/>
    </row>
    <row r="138" spans="3:4" x14ac:dyDescent="0.25">
      <c r="C138" s="287"/>
      <c r="D138" s="287"/>
    </row>
    <row r="139" spans="3:4" x14ac:dyDescent="0.25">
      <c r="C139" s="287"/>
      <c r="D139" s="287"/>
    </row>
    <row r="140" spans="3:4" x14ac:dyDescent="0.25">
      <c r="C140" s="287"/>
      <c r="D140" s="287"/>
    </row>
    <row r="141" spans="3:4" x14ac:dyDescent="0.25">
      <c r="C141" s="287"/>
      <c r="D141" s="287"/>
    </row>
    <row r="142" spans="3:4" x14ac:dyDescent="0.25">
      <c r="C142" s="287"/>
      <c r="D142" s="287"/>
    </row>
    <row r="143" spans="3:4" x14ac:dyDescent="0.25">
      <c r="C143" s="287"/>
      <c r="D143" s="287"/>
    </row>
    <row r="144" spans="3:4" x14ac:dyDescent="0.25">
      <c r="C144" s="287"/>
      <c r="D144" s="287"/>
    </row>
    <row r="145" spans="3:4" x14ac:dyDescent="0.25">
      <c r="C145" s="287"/>
      <c r="D145" s="287"/>
    </row>
    <row r="146" spans="3:4" x14ac:dyDescent="0.25">
      <c r="C146" s="287"/>
      <c r="D146" s="287"/>
    </row>
    <row r="147" spans="3:4" x14ac:dyDescent="0.25">
      <c r="C147" s="287"/>
      <c r="D147" s="287"/>
    </row>
    <row r="148" spans="3:4" x14ac:dyDescent="0.25">
      <c r="C148" s="287"/>
      <c r="D148" s="287"/>
    </row>
    <row r="149" spans="3:4" x14ac:dyDescent="0.25">
      <c r="C149" s="287"/>
      <c r="D149" s="287"/>
    </row>
    <row r="150" spans="3:4" x14ac:dyDescent="0.25">
      <c r="C150" s="287"/>
      <c r="D150" s="287"/>
    </row>
    <row r="151" spans="3:4" x14ac:dyDescent="0.25">
      <c r="C151" s="287"/>
      <c r="D151" s="287"/>
    </row>
    <row r="152" spans="3:4" x14ac:dyDescent="0.25">
      <c r="C152" s="287"/>
      <c r="D152" s="287"/>
    </row>
    <row r="153" spans="3:4" x14ac:dyDescent="0.25">
      <c r="C153" s="287"/>
      <c r="D153" s="287"/>
    </row>
    <row r="154" spans="3:4" x14ac:dyDescent="0.25">
      <c r="C154" s="287"/>
      <c r="D154" s="287"/>
    </row>
    <row r="155" spans="3:4" x14ac:dyDescent="0.25">
      <c r="C155" s="287"/>
      <c r="D155" s="287"/>
    </row>
    <row r="156" spans="3:4" x14ac:dyDescent="0.25">
      <c r="C156" s="287"/>
      <c r="D156" s="287"/>
    </row>
    <row r="157" spans="3:4" x14ac:dyDescent="0.25">
      <c r="C157" s="287"/>
      <c r="D157" s="287"/>
    </row>
    <row r="158" spans="3:4" x14ac:dyDescent="0.25">
      <c r="C158" s="287"/>
      <c r="D158" s="287"/>
    </row>
    <row r="159" spans="3:4" x14ac:dyDescent="0.25">
      <c r="C159" s="287"/>
      <c r="D159" s="287"/>
    </row>
    <row r="160" spans="3:4" x14ac:dyDescent="0.25">
      <c r="C160" s="287"/>
      <c r="D160" s="287"/>
    </row>
    <row r="161" spans="3:4" x14ac:dyDescent="0.25">
      <c r="C161" s="287"/>
      <c r="D161" s="287"/>
    </row>
    <row r="162" spans="3:4" x14ac:dyDescent="0.25">
      <c r="C162" s="287"/>
      <c r="D162" s="287"/>
    </row>
    <row r="163" spans="3:4" x14ac:dyDescent="0.25">
      <c r="C163" s="287"/>
      <c r="D163" s="287"/>
    </row>
    <row r="164" spans="3:4" x14ac:dyDescent="0.25">
      <c r="C164" s="287"/>
      <c r="D164" s="287"/>
    </row>
    <row r="165" spans="3:4" x14ac:dyDescent="0.25">
      <c r="C165" s="287"/>
      <c r="D165" s="287"/>
    </row>
    <row r="166" spans="3:4" x14ac:dyDescent="0.25">
      <c r="C166" s="287"/>
      <c r="D166" s="287"/>
    </row>
    <row r="167" spans="3:4" x14ac:dyDescent="0.25">
      <c r="C167" s="287"/>
      <c r="D167" s="287"/>
    </row>
    <row r="168" spans="3:4" x14ac:dyDescent="0.25">
      <c r="C168" s="287"/>
      <c r="D168" s="287"/>
    </row>
    <row r="169" spans="3:4" x14ac:dyDescent="0.25">
      <c r="C169" s="287"/>
      <c r="D169" s="287"/>
    </row>
    <row r="170" spans="3:4" x14ac:dyDescent="0.25">
      <c r="C170" s="287"/>
      <c r="D170" s="287"/>
    </row>
    <row r="171" spans="3:4" x14ac:dyDescent="0.25">
      <c r="C171" s="287"/>
      <c r="D171" s="287"/>
    </row>
    <row r="172" spans="3:4" x14ac:dyDescent="0.25">
      <c r="C172" s="287"/>
      <c r="D172" s="287"/>
    </row>
    <row r="173" spans="3:4" x14ac:dyDescent="0.25">
      <c r="C173" s="287"/>
      <c r="D173" s="287"/>
    </row>
    <row r="174" spans="3:4" x14ac:dyDescent="0.25">
      <c r="C174" s="287"/>
      <c r="D174" s="287"/>
    </row>
    <row r="175" spans="3:4" x14ac:dyDescent="0.25">
      <c r="C175" s="287"/>
      <c r="D175" s="287"/>
    </row>
    <row r="176" spans="3:4" x14ac:dyDescent="0.25">
      <c r="C176" s="287"/>
      <c r="D176" s="287"/>
    </row>
    <row r="177" spans="3:4" x14ac:dyDescent="0.25">
      <c r="C177" s="287"/>
      <c r="D177" s="287"/>
    </row>
    <row r="178" spans="3:4" x14ac:dyDescent="0.25">
      <c r="C178" s="287"/>
      <c r="D178" s="287"/>
    </row>
    <row r="179" spans="3:4" x14ac:dyDescent="0.25">
      <c r="C179" s="287"/>
      <c r="D179" s="287"/>
    </row>
    <row r="180" spans="3:4" x14ac:dyDescent="0.25">
      <c r="C180" s="287"/>
      <c r="D180" s="287"/>
    </row>
    <row r="181" spans="3:4" x14ac:dyDescent="0.25">
      <c r="C181" s="287"/>
      <c r="D181" s="287"/>
    </row>
    <row r="182" spans="3:4" x14ac:dyDescent="0.25">
      <c r="C182" s="287"/>
      <c r="D182" s="287"/>
    </row>
    <row r="183" spans="3:4" x14ac:dyDescent="0.25">
      <c r="C183" s="287"/>
      <c r="D183" s="287"/>
    </row>
    <row r="184" spans="3:4" x14ac:dyDescent="0.25">
      <c r="C184" s="287"/>
      <c r="D184" s="287"/>
    </row>
    <row r="185" spans="3:4" x14ac:dyDescent="0.25">
      <c r="C185" s="287"/>
      <c r="D185" s="287"/>
    </row>
    <row r="186" spans="3:4" x14ac:dyDescent="0.25">
      <c r="C186" s="287"/>
      <c r="D186" s="287"/>
    </row>
    <row r="187" spans="3:4" x14ac:dyDescent="0.25">
      <c r="C187" s="287"/>
      <c r="D187" s="287"/>
    </row>
    <row r="188" spans="3:4" x14ac:dyDescent="0.25">
      <c r="C188" s="287"/>
      <c r="D188" s="287"/>
    </row>
    <row r="189" spans="3:4" x14ac:dyDescent="0.25">
      <c r="C189" s="287"/>
      <c r="D189" s="287"/>
    </row>
    <row r="190" spans="3:4" x14ac:dyDescent="0.25">
      <c r="C190" s="287"/>
      <c r="D190" s="287"/>
    </row>
    <row r="191" spans="3:4" x14ac:dyDescent="0.25">
      <c r="C191" s="287"/>
      <c r="D191" s="287"/>
    </row>
    <row r="192" spans="3:4" x14ac:dyDescent="0.25">
      <c r="C192" s="287"/>
      <c r="D192" s="287"/>
    </row>
    <row r="193" spans="3:4" x14ac:dyDescent="0.25">
      <c r="C193" s="287"/>
      <c r="D193" s="287"/>
    </row>
    <row r="194" spans="3:4" x14ac:dyDescent="0.25">
      <c r="C194" s="287"/>
      <c r="D194" s="287"/>
    </row>
    <row r="195" spans="3:4" x14ac:dyDescent="0.25">
      <c r="C195" s="287"/>
      <c r="D195" s="287"/>
    </row>
    <row r="196" spans="3:4" x14ac:dyDescent="0.25">
      <c r="C196" s="287"/>
      <c r="D196" s="287"/>
    </row>
    <row r="197" spans="3:4" x14ac:dyDescent="0.25">
      <c r="C197" s="287"/>
      <c r="D197" s="287"/>
    </row>
    <row r="198" spans="3:4" x14ac:dyDescent="0.25">
      <c r="C198" s="287"/>
      <c r="D198" s="287"/>
    </row>
    <row r="199" spans="3:4" x14ac:dyDescent="0.25">
      <c r="C199" s="287"/>
      <c r="D199" s="287"/>
    </row>
    <row r="200" spans="3:4" x14ac:dyDescent="0.25">
      <c r="C200" s="287"/>
      <c r="D200" s="287"/>
    </row>
    <row r="201" spans="3:4" x14ac:dyDescent="0.25">
      <c r="C201" s="287"/>
      <c r="D201" s="287"/>
    </row>
    <row r="202" spans="3:4" x14ac:dyDescent="0.25">
      <c r="C202" s="287"/>
      <c r="D202" s="287"/>
    </row>
    <row r="203" spans="3:4" x14ac:dyDescent="0.25">
      <c r="C203" s="287"/>
      <c r="D203" s="287"/>
    </row>
    <row r="204" spans="3:4" x14ac:dyDescent="0.25">
      <c r="C204" s="287"/>
      <c r="D204" s="287"/>
    </row>
    <row r="205" spans="3:4" x14ac:dyDescent="0.25">
      <c r="C205" s="287"/>
      <c r="D205" s="287"/>
    </row>
  </sheetData>
  <autoFilter ref="A2:N33" xr:uid="{E02EB24C-1C31-49FC-93A7-559C6EFC5A1E}">
    <sortState xmlns:xlrd2="http://schemas.microsoft.com/office/spreadsheetml/2017/richdata2" ref="A8:N56">
      <sortCondition descending="1" ref="C2:C33"/>
    </sortState>
  </autoFilter>
  <mergeCells count="5">
    <mergeCell ref="A1:B1"/>
    <mergeCell ref="C1:E1"/>
    <mergeCell ref="F1:H1"/>
    <mergeCell ref="I1:K1"/>
    <mergeCell ref="L1:N1"/>
  </mergeCells>
  <phoneticPr fontId="7" type="noConversion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73" r:id="rId4" name="ListBox1">
          <controlPr defaultSize="0" autoLine="0" autoPict="0" listFillRange="PlayersList" r:id="rId5">
            <anchor moveWithCells="1">
              <from>
                <xdr:col>14</xdr:col>
                <xdr:colOff>133350</xdr:colOff>
                <xdr:row>1</xdr:row>
                <xdr:rowOff>285750</xdr:rowOff>
              </from>
              <to>
                <xdr:col>16</xdr:col>
                <xdr:colOff>247650</xdr:colOff>
                <xdr:row>19</xdr:row>
                <xdr:rowOff>38100</xdr:rowOff>
              </to>
            </anchor>
          </controlPr>
        </control>
      </mc:Choice>
      <mc:Fallback>
        <control shapeId="7173" r:id="rId4" name="ListBox1"/>
      </mc:Fallback>
    </mc:AlternateContent>
    <mc:AlternateContent xmlns:mc="http://schemas.openxmlformats.org/markup-compatibility/2006">
      <mc:Choice Requires="x14">
        <control shapeId="7170" r:id="rId6" name="Button 2">
          <controlPr defaultSize="0" print="0" autoFill="0" autoPict="0" macro="[0]!ImposterPairs">
            <anchor moveWithCells="1" sizeWithCells="1">
              <from>
                <xdr:col>14</xdr:col>
                <xdr:colOff>295275</xdr:colOff>
                <xdr:row>0</xdr:row>
                <xdr:rowOff>57150</xdr:rowOff>
              </from>
              <to>
                <xdr:col>16</xdr:col>
                <xdr:colOff>19050</xdr:colOff>
                <xdr:row>1</xdr:row>
                <xdr:rowOff>238125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115" id="{37711DB5-B409-4A70-9972-7AE5C9F63691}">
            <x14:colorScale>
              <x14:cfvo type="num">
                <xm:f>0</xm:f>
              </x14:cfvo>
              <x14:cfvo type="num">
                <xm:f>'Advanced Lobby Stats'!$AV$5</xm:f>
              </x14:cfvo>
              <x14:cfvo type="num">
                <xm:f>'Advanced Lobby Stats'!$AV$5*2</xm:f>
              </x14:cfvo>
              <x14:color rgb="FFF8696B"/>
              <x14:color rgb="FFFFEB84"/>
              <x14:color rgb="FF63BE7B"/>
            </x14:colorScale>
          </x14:cfRule>
          <xm:sqref>E3:E1048576 H3:H1048576 K3:K1048576 N3:N1048576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96DE8-3EB9-4CA5-83EF-11982C5C4068}">
  <sheetPr codeName="Sheet7"/>
  <dimension ref="A1:U21"/>
  <sheetViews>
    <sheetView showGridLines="0" zoomScale="70" zoomScaleNormal="70" workbookViewId="0">
      <selection activeCell="I31" sqref="I31"/>
    </sheetView>
  </sheetViews>
  <sheetFormatPr defaultRowHeight="15" x14ac:dyDescent="0.25"/>
  <cols>
    <col min="1" max="1" width="13" style="163" bestFit="1" customWidth="1"/>
    <col min="2" max="10" width="10.7109375" style="164" customWidth="1"/>
    <col min="11" max="11" width="13" style="164" bestFit="1" customWidth="1"/>
    <col min="12" max="18" width="10.7109375" style="164" customWidth="1"/>
    <col min="19" max="20" width="10.7109375" style="165" customWidth="1"/>
    <col min="21" max="16384" width="9.140625" style="165"/>
  </cols>
  <sheetData>
    <row r="1" spans="1:20" s="163" customFormat="1" ht="22.5" customHeight="1" x14ac:dyDescent="0.25">
      <c r="A1" s="129"/>
      <c r="B1" s="167" t="s">
        <v>41</v>
      </c>
      <c r="C1" s="167" t="s">
        <v>66</v>
      </c>
      <c r="D1" s="167" t="s">
        <v>8</v>
      </c>
      <c r="E1" s="167" t="s">
        <v>7</v>
      </c>
      <c r="F1" s="167" t="s">
        <v>16</v>
      </c>
      <c r="G1" s="167" t="s">
        <v>17</v>
      </c>
      <c r="H1" s="167" t="s">
        <v>12</v>
      </c>
      <c r="I1" s="167" t="s">
        <v>11</v>
      </c>
      <c r="J1" s="167" t="s">
        <v>14</v>
      </c>
      <c r="K1" s="167" t="s">
        <v>40</v>
      </c>
      <c r="L1" s="167" t="s">
        <v>54</v>
      </c>
      <c r="M1" s="167" t="s">
        <v>53</v>
      </c>
      <c r="N1" s="167" t="s">
        <v>55</v>
      </c>
      <c r="O1" s="167" t="s">
        <v>69</v>
      </c>
      <c r="P1" s="167" t="s">
        <v>68</v>
      </c>
      <c r="Q1" s="167" t="s">
        <v>70</v>
      </c>
      <c r="R1" s="167" t="s">
        <v>71</v>
      </c>
      <c r="S1" s="167" t="s">
        <v>79</v>
      </c>
      <c r="T1" s="227" t="s">
        <v>90</v>
      </c>
    </row>
    <row r="2" spans="1:20" ht="22.5" customHeight="1" x14ac:dyDescent="0.25">
      <c r="A2" s="167" t="s">
        <v>41</v>
      </c>
      <c r="B2" s="131"/>
      <c r="C2" s="166">
        <v>2</v>
      </c>
      <c r="D2" s="166">
        <v>3</v>
      </c>
      <c r="E2" s="166">
        <v>4</v>
      </c>
      <c r="F2" s="166">
        <v>3</v>
      </c>
      <c r="G2" s="166">
        <v>1</v>
      </c>
      <c r="H2" s="166">
        <v>1</v>
      </c>
      <c r="I2" s="166">
        <v>1</v>
      </c>
      <c r="J2" s="166">
        <v>2</v>
      </c>
      <c r="K2" s="166">
        <v>1</v>
      </c>
      <c r="L2" s="166"/>
      <c r="M2" s="166">
        <v>4</v>
      </c>
      <c r="N2" s="166">
        <v>2</v>
      </c>
      <c r="O2" s="166"/>
      <c r="P2" s="166"/>
      <c r="Q2" s="166"/>
      <c r="R2" s="166">
        <v>2</v>
      </c>
      <c r="S2" s="166">
        <v>2</v>
      </c>
      <c r="T2" s="254">
        <v>1</v>
      </c>
    </row>
    <row r="3" spans="1:20" ht="22.5" customHeight="1" x14ac:dyDescent="0.25">
      <c r="A3" s="167" t="s">
        <v>66</v>
      </c>
      <c r="B3" s="166">
        <v>2</v>
      </c>
      <c r="C3" s="131"/>
      <c r="D3" s="166"/>
      <c r="E3" s="166">
        <v>4</v>
      </c>
      <c r="F3" s="166">
        <v>4</v>
      </c>
      <c r="G3" s="166"/>
      <c r="H3" s="166">
        <v>1</v>
      </c>
      <c r="I3" s="166">
        <v>4</v>
      </c>
      <c r="J3" s="166">
        <v>1</v>
      </c>
      <c r="K3" s="166">
        <v>3</v>
      </c>
      <c r="L3" s="166"/>
      <c r="M3" s="166">
        <v>1</v>
      </c>
      <c r="N3" s="166">
        <v>1</v>
      </c>
      <c r="O3" s="166"/>
      <c r="P3" s="166"/>
      <c r="Q3" s="166"/>
      <c r="R3" s="166"/>
      <c r="S3" s="166">
        <v>1</v>
      </c>
      <c r="T3" s="254">
        <v>2</v>
      </c>
    </row>
    <row r="4" spans="1:20" ht="22.5" customHeight="1" x14ac:dyDescent="0.25">
      <c r="A4" s="167" t="s">
        <v>8</v>
      </c>
      <c r="B4" s="166">
        <v>3</v>
      </c>
      <c r="C4" s="166"/>
      <c r="D4" s="131"/>
      <c r="E4" s="166">
        <v>3</v>
      </c>
      <c r="F4" s="166">
        <v>1</v>
      </c>
      <c r="G4" s="166"/>
      <c r="H4" s="166">
        <v>3</v>
      </c>
      <c r="I4" s="166">
        <v>3</v>
      </c>
      <c r="J4" s="166">
        <v>1</v>
      </c>
      <c r="K4" s="166">
        <v>2</v>
      </c>
      <c r="L4" s="166"/>
      <c r="M4" s="166"/>
      <c r="N4" s="166">
        <v>1</v>
      </c>
      <c r="O4" s="166"/>
      <c r="P4" s="166"/>
      <c r="Q4" s="166"/>
      <c r="R4" s="166"/>
      <c r="S4" s="166"/>
      <c r="T4" s="254"/>
    </row>
    <row r="5" spans="1:20" ht="22.5" customHeight="1" x14ac:dyDescent="0.25">
      <c r="A5" s="167" t="s">
        <v>7</v>
      </c>
      <c r="B5" s="166">
        <v>4</v>
      </c>
      <c r="C5" s="166">
        <v>4</v>
      </c>
      <c r="D5" s="166">
        <v>3</v>
      </c>
      <c r="E5" s="131"/>
      <c r="F5" s="166">
        <v>3</v>
      </c>
      <c r="G5" s="166">
        <v>2</v>
      </c>
      <c r="H5" s="166"/>
      <c r="I5" s="166">
        <v>4</v>
      </c>
      <c r="J5" s="166">
        <v>3</v>
      </c>
      <c r="K5" s="166"/>
      <c r="L5" s="166">
        <v>2</v>
      </c>
      <c r="M5" s="166">
        <v>3</v>
      </c>
      <c r="N5" s="166">
        <v>1</v>
      </c>
      <c r="O5" s="166">
        <v>1</v>
      </c>
      <c r="P5" s="166"/>
      <c r="Q5" s="166"/>
      <c r="R5" s="166"/>
      <c r="S5" s="166"/>
      <c r="T5" s="254"/>
    </row>
    <row r="6" spans="1:20" ht="22.5" customHeight="1" x14ac:dyDescent="0.25">
      <c r="A6" s="167" t="s">
        <v>16</v>
      </c>
      <c r="B6" s="166">
        <v>3</v>
      </c>
      <c r="C6" s="166">
        <v>4</v>
      </c>
      <c r="D6" s="166">
        <v>1</v>
      </c>
      <c r="E6" s="166">
        <v>3</v>
      </c>
      <c r="F6" s="131"/>
      <c r="G6" s="166"/>
      <c r="H6" s="166">
        <v>4</v>
      </c>
      <c r="I6" s="166">
        <v>2</v>
      </c>
      <c r="J6" s="166">
        <v>1</v>
      </c>
      <c r="K6" s="166">
        <v>1</v>
      </c>
      <c r="L6" s="166">
        <v>3</v>
      </c>
      <c r="M6" s="166">
        <v>2</v>
      </c>
      <c r="N6" s="166">
        <v>2</v>
      </c>
      <c r="O6" s="166"/>
      <c r="P6" s="166"/>
      <c r="Q6" s="166"/>
      <c r="R6" s="166"/>
      <c r="S6" s="166">
        <v>1</v>
      </c>
      <c r="T6" s="254">
        <v>2</v>
      </c>
    </row>
    <row r="7" spans="1:20" ht="22.5" customHeight="1" x14ac:dyDescent="0.25">
      <c r="A7" s="167" t="s">
        <v>17</v>
      </c>
      <c r="B7" s="166">
        <v>1</v>
      </c>
      <c r="C7" s="166"/>
      <c r="D7" s="166"/>
      <c r="E7" s="166">
        <v>2</v>
      </c>
      <c r="F7" s="166"/>
      <c r="G7" s="131"/>
      <c r="H7" s="166"/>
      <c r="I7" s="166">
        <v>3</v>
      </c>
      <c r="J7" s="166">
        <v>1</v>
      </c>
      <c r="K7" s="166"/>
      <c r="L7" s="166"/>
      <c r="M7" s="166"/>
      <c r="N7" s="166"/>
      <c r="O7" s="166"/>
      <c r="P7" s="166">
        <v>1</v>
      </c>
      <c r="Q7" s="166"/>
      <c r="R7" s="166"/>
      <c r="S7" s="166"/>
      <c r="T7" s="254"/>
    </row>
    <row r="8" spans="1:20" ht="22.5" customHeight="1" x14ac:dyDescent="0.25">
      <c r="A8" s="167" t="s">
        <v>12</v>
      </c>
      <c r="B8" s="166">
        <v>1</v>
      </c>
      <c r="C8" s="166">
        <v>1</v>
      </c>
      <c r="D8" s="166">
        <v>3</v>
      </c>
      <c r="E8" s="166"/>
      <c r="F8" s="166">
        <v>4</v>
      </c>
      <c r="G8" s="166"/>
      <c r="H8" s="131"/>
      <c r="I8" s="166">
        <v>2</v>
      </c>
      <c r="J8" s="166">
        <v>2</v>
      </c>
      <c r="K8" s="166">
        <v>2</v>
      </c>
      <c r="L8" s="166"/>
      <c r="M8" s="166"/>
      <c r="N8" s="166"/>
      <c r="O8" s="166"/>
      <c r="P8" s="166"/>
      <c r="Q8" s="166">
        <v>1</v>
      </c>
      <c r="R8" s="166"/>
      <c r="S8" s="166"/>
      <c r="T8" s="254"/>
    </row>
    <row r="9" spans="1:20" ht="22.5" customHeight="1" x14ac:dyDescent="0.25">
      <c r="A9" s="167" t="s">
        <v>11</v>
      </c>
      <c r="B9" s="166">
        <v>1</v>
      </c>
      <c r="C9" s="166">
        <v>4</v>
      </c>
      <c r="D9" s="166">
        <v>3</v>
      </c>
      <c r="E9" s="166">
        <v>4</v>
      </c>
      <c r="F9" s="166">
        <v>2</v>
      </c>
      <c r="G9" s="166">
        <v>3</v>
      </c>
      <c r="H9" s="166">
        <v>2</v>
      </c>
      <c r="I9" s="131"/>
      <c r="J9" s="166">
        <v>3</v>
      </c>
      <c r="K9" s="166">
        <v>2</v>
      </c>
      <c r="L9" s="166">
        <v>1</v>
      </c>
      <c r="M9" s="166">
        <v>1</v>
      </c>
      <c r="N9" s="166">
        <v>2</v>
      </c>
      <c r="O9" s="166">
        <v>1</v>
      </c>
      <c r="P9" s="166"/>
      <c r="Q9" s="166"/>
      <c r="R9" s="166">
        <v>2</v>
      </c>
      <c r="S9" s="166"/>
      <c r="T9" s="254"/>
    </row>
    <row r="10" spans="1:20" ht="22.5" customHeight="1" x14ac:dyDescent="0.25">
      <c r="A10" s="167" t="s">
        <v>14</v>
      </c>
      <c r="B10" s="166">
        <v>2</v>
      </c>
      <c r="C10" s="166">
        <v>1</v>
      </c>
      <c r="D10" s="166">
        <v>1</v>
      </c>
      <c r="E10" s="166">
        <v>3</v>
      </c>
      <c r="F10" s="166">
        <v>1</v>
      </c>
      <c r="G10" s="166">
        <v>1</v>
      </c>
      <c r="H10" s="166">
        <v>2</v>
      </c>
      <c r="I10" s="166">
        <v>3</v>
      </c>
      <c r="J10" s="131"/>
      <c r="K10" s="166">
        <v>4</v>
      </c>
      <c r="L10" s="166"/>
      <c r="M10" s="166">
        <v>3</v>
      </c>
      <c r="N10" s="166"/>
      <c r="O10" s="166"/>
      <c r="P10" s="166"/>
      <c r="Q10" s="166">
        <v>2</v>
      </c>
      <c r="R10" s="166">
        <v>1</v>
      </c>
      <c r="S10" s="166"/>
      <c r="T10" s="254">
        <v>1</v>
      </c>
    </row>
    <row r="11" spans="1:20" ht="22.5" customHeight="1" x14ac:dyDescent="0.25">
      <c r="A11" s="167" t="s">
        <v>40</v>
      </c>
      <c r="B11" s="166">
        <v>1</v>
      </c>
      <c r="C11" s="166">
        <v>3</v>
      </c>
      <c r="D11" s="166">
        <v>2</v>
      </c>
      <c r="E11" s="166"/>
      <c r="F11" s="166">
        <v>1</v>
      </c>
      <c r="G11" s="166"/>
      <c r="H11" s="166">
        <v>2</v>
      </c>
      <c r="I11" s="166">
        <v>2</v>
      </c>
      <c r="J11" s="166">
        <v>4</v>
      </c>
      <c r="K11" s="131"/>
      <c r="L11" s="166"/>
      <c r="M11" s="166">
        <v>1</v>
      </c>
      <c r="N11" s="166"/>
      <c r="O11" s="166">
        <v>2</v>
      </c>
      <c r="P11" s="166"/>
      <c r="Q11" s="166"/>
      <c r="R11" s="166"/>
      <c r="S11" s="166"/>
      <c r="T11" s="254"/>
    </row>
    <row r="12" spans="1:20" ht="22.5" customHeight="1" x14ac:dyDescent="0.25">
      <c r="A12" s="167" t="s">
        <v>54</v>
      </c>
      <c r="B12" s="166"/>
      <c r="C12" s="166"/>
      <c r="D12" s="166"/>
      <c r="E12" s="166">
        <v>2</v>
      </c>
      <c r="F12" s="166">
        <v>3</v>
      </c>
      <c r="G12" s="166"/>
      <c r="H12" s="166"/>
      <c r="I12" s="166">
        <v>1</v>
      </c>
      <c r="J12" s="166"/>
      <c r="K12" s="166"/>
      <c r="L12" s="131"/>
      <c r="M12" s="166"/>
      <c r="N12" s="166"/>
      <c r="O12" s="166"/>
      <c r="P12" s="166"/>
      <c r="Q12" s="166"/>
      <c r="R12" s="166"/>
      <c r="S12" s="166"/>
      <c r="T12" s="254"/>
    </row>
    <row r="13" spans="1:20" ht="22.5" customHeight="1" x14ac:dyDescent="0.25">
      <c r="A13" s="167" t="s">
        <v>53</v>
      </c>
      <c r="B13" s="166">
        <v>4</v>
      </c>
      <c r="C13" s="166">
        <v>1</v>
      </c>
      <c r="D13" s="166"/>
      <c r="E13" s="166">
        <v>3</v>
      </c>
      <c r="F13" s="166">
        <v>2</v>
      </c>
      <c r="G13" s="166"/>
      <c r="H13" s="166"/>
      <c r="I13" s="166">
        <v>1</v>
      </c>
      <c r="J13" s="166">
        <v>3</v>
      </c>
      <c r="K13" s="166">
        <v>1</v>
      </c>
      <c r="L13" s="166"/>
      <c r="M13" s="131"/>
      <c r="N13" s="166">
        <v>2</v>
      </c>
      <c r="O13" s="166"/>
      <c r="P13" s="166"/>
      <c r="Q13" s="166"/>
      <c r="R13" s="166">
        <v>1</v>
      </c>
      <c r="S13" s="166"/>
      <c r="T13" s="254"/>
    </row>
    <row r="14" spans="1:20" ht="22.5" customHeight="1" x14ac:dyDescent="0.25">
      <c r="A14" s="167" t="s">
        <v>55</v>
      </c>
      <c r="B14" s="166">
        <v>2</v>
      </c>
      <c r="C14" s="166">
        <v>1</v>
      </c>
      <c r="D14" s="166">
        <v>1</v>
      </c>
      <c r="E14" s="166">
        <v>1</v>
      </c>
      <c r="F14" s="166">
        <v>2</v>
      </c>
      <c r="G14" s="166"/>
      <c r="H14" s="166"/>
      <c r="I14" s="166">
        <v>2</v>
      </c>
      <c r="J14" s="166"/>
      <c r="K14" s="166"/>
      <c r="L14" s="166"/>
      <c r="M14" s="166">
        <v>2</v>
      </c>
      <c r="N14" s="131"/>
      <c r="O14" s="166"/>
      <c r="P14" s="166"/>
      <c r="Q14" s="166"/>
      <c r="R14" s="166"/>
      <c r="S14" s="166"/>
      <c r="T14" s="254"/>
    </row>
    <row r="15" spans="1:20" ht="22.5" customHeight="1" x14ac:dyDescent="0.25">
      <c r="A15" s="167" t="s">
        <v>69</v>
      </c>
      <c r="B15" s="166"/>
      <c r="C15" s="166"/>
      <c r="D15" s="166"/>
      <c r="E15" s="166">
        <v>1</v>
      </c>
      <c r="F15" s="166"/>
      <c r="G15" s="166"/>
      <c r="H15" s="166"/>
      <c r="I15" s="166">
        <v>1</v>
      </c>
      <c r="J15" s="166"/>
      <c r="K15" s="166">
        <v>2</v>
      </c>
      <c r="L15" s="166"/>
      <c r="M15" s="166"/>
      <c r="N15" s="166"/>
      <c r="O15" s="131"/>
      <c r="P15" s="166"/>
      <c r="Q15" s="166"/>
      <c r="R15" s="166"/>
      <c r="S15" s="166"/>
      <c r="T15" s="254"/>
    </row>
    <row r="16" spans="1:20" ht="22.5" customHeight="1" x14ac:dyDescent="0.25">
      <c r="A16" s="167" t="s">
        <v>68</v>
      </c>
      <c r="B16" s="166"/>
      <c r="C16" s="166"/>
      <c r="D16" s="166"/>
      <c r="E16" s="166"/>
      <c r="F16" s="166"/>
      <c r="G16" s="166">
        <v>1</v>
      </c>
      <c r="H16" s="166"/>
      <c r="I16" s="166"/>
      <c r="J16" s="166"/>
      <c r="K16" s="166"/>
      <c r="L16" s="166"/>
      <c r="M16" s="166"/>
      <c r="N16" s="166"/>
      <c r="O16" s="166"/>
      <c r="P16" s="131"/>
      <c r="Q16" s="166"/>
      <c r="R16" s="166"/>
      <c r="S16" s="166"/>
      <c r="T16" s="254"/>
    </row>
    <row r="17" spans="1:21" ht="22.5" customHeight="1" x14ac:dyDescent="0.25">
      <c r="A17" s="167" t="s">
        <v>70</v>
      </c>
      <c r="B17" s="166"/>
      <c r="C17" s="166"/>
      <c r="D17" s="166"/>
      <c r="E17" s="166"/>
      <c r="F17" s="166"/>
      <c r="G17" s="166"/>
      <c r="H17" s="166">
        <v>1</v>
      </c>
      <c r="I17" s="166"/>
      <c r="J17" s="166">
        <v>2</v>
      </c>
      <c r="K17" s="166"/>
      <c r="L17" s="166"/>
      <c r="M17" s="166"/>
      <c r="N17" s="166"/>
      <c r="O17" s="166"/>
      <c r="P17" s="166"/>
      <c r="Q17" s="131"/>
      <c r="R17" s="166">
        <v>1</v>
      </c>
      <c r="S17" s="166"/>
      <c r="T17" s="254"/>
    </row>
    <row r="18" spans="1:21" ht="22.5" customHeight="1" x14ac:dyDescent="0.25">
      <c r="A18" s="167" t="s">
        <v>71</v>
      </c>
      <c r="B18" s="166">
        <v>2</v>
      </c>
      <c r="C18" s="166"/>
      <c r="D18" s="166"/>
      <c r="E18" s="166"/>
      <c r="F18" s="166"/>
      <c r="G18" s="166"/>
      <c r="H18" s="166"/>
      <c r="I18" s="166">
        <v>2</v>
      </c>
      <c r="J18" s="166">
        <v>1</v>
      </c>
      <c r="K18" s="166"/>
      <c r="L18" s="166"/>
      <c r="M18" s="166">
        <v>1</v>
      </c>
      <c r="N18" s="166"/>
      <c r="O18" s="166"/>
      <c r="P18" s="166"/>
      <c r="Q18" s="166">
        <v>1</v>
      </c>
      <c r="R18" s="131"/>
      <c r="S18" s="166"/>
      <c r="T18" s="254">
        <v>1</v>
      </c>
    </row>
    <row r="19" spans="1:21" ht="22.5" customHeight="1" x14ac:dyDescent="0.25">
      <c r="A19" s="167" t="s">
        <v>79</v>
      </c>
      <c r="B19" s="166">
        <v>2</v>
      </c>
      <c r="C19" s="166">
        <v>1</v>
      </c>
      <c r="D19" s="166"/>
      <c r="E19" s="166"/>
      <c r="F19" s="166">
        <v>1</v>
      </c>
      <c r="G19" s="166"/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226"/>
      <c r="T19" s="254"/>
    </row>
    <row r="20" spans="1:21" ht="22.5" customHeight="1" x14ac:dyDescent="0.25">
      <c r="A20" s="227" t="s">
        <v>90</v>
      </c>
      <c r="B20" s="166">
        <v>1</v>
      </c>
      <c r="C20" s="166">
        <v>2</v>
      </c>
      <c r="D20" s="166"/>
      <c r="E20" s="166"/>
      <c r="F20" s="166">
        <v>2</v>
      </c>
      <c r="G20" s="166"/>
      <c r="H20" s="166"/>
      <c r="I20" s="166"/>
      <c r="J20" s="166">
        <v>1</v>
      </c>
      <c r="K20" s="166"/>
      <c r="L20" s="166"/>
      <c r="M20" s="166"/>
      <c r="N20" s="166"/>
      <c r="O20" s="166"/>
      <c r="P20" s="166"/>
      <c r="Q20" s="166"/>
      <c r="R20" s="166">
        <v>1</v>
      </c>
      <c r="S20" s="254"/>
      <c r="T20" s="255"/>
    </row>
    <row r="21" spans="1:21" x14ac:dyDescent="0.25">
      <c r="S21" s="256"/>
      <c r="T21" s="256"/>
      <c r="U21" s="310"/>
    </row>
  </sheetData>
  <conditionalFormatting sqref="A1:XFD1048576 A1:XFD1 A1:A1048576">
    <cfRule type="colorScale" priority="1">
      <colorScale>
        <cfvo type="num" val="1"/>
        <cfvo type="percent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ImposterGamesChart">
                <anchor moveWithCells="1" sizeWithCells="1">
                  <from>
                    <xdr:col>20</xdr:col>
                    <xdr:colOff>161925</xdr:colOff>
                    <xdr:row>1</xdr:row>
                    <xdr:rowOff>285750</xdr:rowOff>
                  </from>
                  <to>
                    <xdr:col>21</xdr:col>
                    <xdr:colOff>323850</xdr:colOff>
                    <xdr:row>2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3939-CDD1-422F-9CB7-DFE41FEE3A3A}">
  <sheetPr codeName="Sheet5"/>
  <dimension ref="A1:W24"/>
  <sheetViews>
    <sheetView showGridLines="0" zoomScale="70" zoomScaleNormal="70" workbookViewId="0">
      <selection activeCell="Y25" sqref="Y25"/>
    </sheetView>
  </sheetViews>
  <sheetFormatPr defaultRowHeight="15" x14ac:dyDescent="0.25"/>
  <cols>
    <col min="1" max="1" width="11.42578125" style="261" customWidth="1"/>
    <col min="2" max="20" width="11.42578125" style="170" customWidth="1"/>
    <col min="21" max="16384" width="9.140625" style="170"/>
  </cols>
  <sheetData>
    <row r="1" spans="1:23" s="163" customFormat="1" ht="26.25" customHeight="1" x14ac:dyDescent="0.25">
      <c r="A1" s="258"/>
      <c r="B1" s="168" t="s">
        <v>41</v>
      </c>
      <c r="C1" s="168" t="s">
        <v>66</v>
      </c>
      <c r="D1" s="168" t="s">
        <v>8</v>
      </c>
      <c r="E1" s="168" t="s">
        <v>7</v>
      </c>
      <c r="F1" s="168" t="s">
        <v>16</v>
      </c>
      <c r="G1" s="168" t="s">
        <v>17</v>
      </c>
      <c r="H1" s="168" t="s">
        <v>12</v>
      </c>
      <c r="I1" s="168" t="s">
        <v>11</v>
      </c>
      <c r="J1" s="168" t="s">
        <v>14</v>
      </c>
      <c r="K1" s="168" t="s">
        <v>40</v>
      </c>
      <c r="L1" s="168" t="s">
        <v>54</v>
      </c>
      <c r="M1" s="168" t="s">
        <v>53</v>
      </c>
      <c r="N1" s="168" t="s">
        <v>55</v>
      </c>
      <c r="O1" s="168" t="s">
        <v>69</v>
      </c>
      <c r="P1" s="168" t="s">
        <v>68</v>
      </c>
      <c r="Q1" s="168" t="s">
        <v>70</v>
      </c>
      <c r="R1" s="168" t="s">
        <v>71</v>
      </c>
      <c r="S1" s="168" t="s">
        <v>79</v>
      </c>
      <c r="T1" s="257" t="s">
        <v>90</v>
      </c>
      <c r="U1" s="169"/>
      <c r="V1" s="169"/>
      <c r="W1" s="169"/>
    </row>
    <row r="2" spans="1:23" ht="26.25" customHeight="1" x14ac:dyDescent="0.25">
      <c r="A2" s="259" t="s">
        <v>41</v>
      </c>
      <c r="B2" s="130"/>
      <c r="C2" s="171">
        <v>0</v>
      </c>
      <c r="D2" s="171">
        <v>0.33333333333333331</v>
      </c>
      <c r="E2" s="171">
        <v>0.75</v>
      </c>
      <c r="F2" s="171">
        <v>0.66666666666666663</v>
      </c>
      <c r="G2" s="171">
        <v>0</v>
      </c>
      <c r="H2" s="171">
        <v>1</v>
      </c>
      <c r="I2" s="171">
        <v>0</v>
      </c>
      <c r="J2" s="171">
        <v>0</v>
      </c>
      <c r="K2" s="171">
        <v>1</v>
      </c>
      <c r="L2" s="171"/>
      <c r="M2" s="171">
        <v>0</v>
      </c>
      <c r="N2" s="171">
        <v>1</v>
      </c>
      <c r="O2" s="171"/>
      <c r="P2" s="171"/>
      <c r="Q2" s="171"/>
      <c r="R2" s="171">
        <v>0.5</v>
      </c>
      <c r="S2" s="171">
        <v>0</v>
      </c>
      <c r="T2" s="171">
        <v>1</v>
      </c>
    </row>
    <row r="3" spans="1:23" ht="26.25" customHeight="1" x14ac:dyDescent="0.25">
      <c r="A3" s="259" t="s">
        <v>66</v>
      </c>
      <c r="B3" s="171">
        <v>0</v>
      </c>
      <c r="C3" s="130"/>
      <c r="D3" s="171"/>
      <c r="E3" s="171">
        <v>0</v>
      </c>
      <c r="F3" s="171">
        <v>0.5</v>
      </c>
      <c r="G3" s="171"/>
      <c r="H3" s="171">
        <v>0</v>
      </c>
      <c r="I3" s="171">
        <v>0</v>
      </c>
      <c r="J3" s="171">
        <v>0</v>
      </c>
      <c r="K3" s="171">
        <v>0</v>
      </c>
      <c r="L3" s="171"/>
      <c r="M3" s="171">
        <v>0</v>
      </c>
      <c r="N3" s="171">
        <v>0</v>
      </c>
      <c r="O3" s="171"/>
      <c r="P3" s="171"/>
      <c r="Q3" s="171"/>
      <c r="R3" s="171"/>
      <c r="S3" s="171">
        <v>0</v>
      </c>
      <c r="T3" s="171">
        <v>0</v>
      </c>
    </row>
    <row r="4" spans="1:23" ht="26.25" customHeight="1" x14ac:dyDescent="0.25">
      <c r="A4" s="259" t="s">
        <v>8</v>
      </c>
      <c r="B4" s="171">
        <v>0.33333333333333331</v>
      </c>
      <c r="C4" s="171"/>
      <c r="D4" s="130"/>
      <c r="E4" s="171">
        <v>0.66666666666666663</v>
      </c>
      <c r="F4" s="171">
        <v>0</v>
      </c>
      <c r="G4" s="171"/>
      <c r="H4" s="171">
        <v>0</v>
      </c>
      <c r="I4" s="171">
        <v>0</v>
      </c>
      <c r="J4" s="171">
        <v>1</v>
      </c>
      <c r="K4" s="171">
        <v>0</v>
      </c>
      <c r="L4" s="171"/>
      <c r="M4" s="171"/>
      <c r="N4" s="171">
        <v>0</v>
      </c>
      <c r="O4" s="171"/>
      <c r="P4" s="171"/>
      <c r="Q4" s="171"/>
      <c r="R4" s="171"/>
      <c r="S4" s="171"/>
      <c r="T4" s="171"/>
    </row>
    <row r="5" spans="1:23" ht="26.25" customHeight="1" x14ac:dyDescent="0.25">
      <c r="A5" s="259" t="s">
        <v>7</v>
      </c>
      <c r="B5" s="171">
        <v>0.75</v>
      </c>
      <c r="C5" s="171">
        <v>0</v>
      </c>
      <c r="D5" s="171">
        <v>0.66666666666666663</v>
      </c>
      <c r="E5" s="130"/>
      <c r="F5" s="171">
        <v>1</v>
      </c>
      <c r="G5" s="171">
        <v>0</v>
      </c>
      <c r="H5" s="171"/>
      <c r="I5" s="171">
        <v>0.75</v>
      </c>
      <c r="J5" s="171">
        <v>0.33333333333333331</v>
      </c>
      <c r="K5" s="171"/>
      <c r="L5" s="171">
        <v>0</v>
      </c>
      <c r="M5" s="171">
        <v>0.33333333333333331</v>
      </c>
      <c r="N5" s="171">
        <v>0</v>
      </c>
      <c r="O5" s="171">
        <v>0</v>
      </c>
      <c r="P5" s="171"/>
      <c r="Q5" s="171"/>
      <c r="R5" s="171"/>
      <c r="S5" s="171"/>
      <c r="T5" s="171"/>
    </row>
    <row r="6" spans="1:23" ht="26.25" customHeight="1" x14ac:dyDescent="0.25">
      <c r="A6" s="259" t="s">
        <v>16</v>
      </c>
      <c r="B6" s="171">
        <v>0.66666666666666663</v>
      </c>
      <c r="C6" s="171">
        <v>0.5</v>
      </c>
      <c r="D6" s="171">
        <v>0</v>
      </c>
      <c r="E6" s="171">
        <v>1</v>
      </c>
      <c r="F6" s="130"/>
      <c r="G6" s="171"/>
      <c r="H6" s="171">
        <v>0.5</v>
      </c>
      <c r="I6" s="171">
        <v>0.5</v>
      </c>
      <c r="J6" s="171">
        <v>0</v>
      </c>
      <c r="K6" s="171">
        <v>1</v>
      </c>
      <c r="L6" s="171">
        <v>0.33333333333333331</v>
      </c>
      <c r="M6" s="171">
        <v>0</v>
      </c>
      <c r="N6" s="171">
        <v>0.5</v>
      </c>
      <c r="O6" s="171"/>
      <c r="P6" s="171"/>
      <c r="Q6" s="171"/>
      <c r="R6" s="171"/>
      <c r="S6" s="171">
        <v>1</v>
      </c>
      <c r="T6" s="171">
        <v>1</v>
      </c>
    </row>
    <row r="7" spans="1:23" ht="26.25" customHeight="1" x14ac:dyDescent="0.25">
      <c r="A7" s="259" t="s">
        <v>17</v>
      </c>
      <c r="B7" s="171">
        <v>0</v>
      </c>
      <c r="C7" s="171"/>
      <c r="D7" s="171"/>
      <c r="E7" s="171">
        <v>0</v>
      </c>
      <c r="F7" s="171"/>
      <c r="G7" s="130"/>
      <c r="H7" s="171"/>
      <c r="I7" s="171">
        <v>0</v>
      </c>
      <c r="J7" s="171">
        <v>0</v>
      </c>
      <c r="K7" s="171"/>
      <c r="L7" s="171"/>
      <c r="M7" s="171"/>
      <c r="N7" s="171"/>
      <c r="O7" s="171"/>
      <c r="P7" s="171">
        <v>0</v>
      </c>
      <c r="Q7" s="171"/>
      <c r="R7" s="171"/>
      <c r="S7" s="171"/>
      <c r="T7" s="171"/>
    </row>
    <row r="8" spans="1:23" ht="26.25" customHeight="1" x14ac:dyDescent="0.25">
      <c r="A8" s="259" t="s">
        <v>12</v>
      </c>
      <c r="B8" s="171">
        <v>1</v>
      </c>
      <c r="C8" s="171">
        <v>0</v>
      </c>
      <c r="D8" s="171">
        <v>0</v>
      </c>
      <c r="E8" s="171"/>
      <c r="F8" s="171">
        <v>0.5</v>
      </c>
      <c r="G8" s="171"/>
      <c r="H8" s="130"/>
      <c r="I8" s="171">
        <v>0</v>
      </c>
      <c r="J8" s="171">
        <v>0</v>
      </c>
      <c r="K8" s="171">
        <v>0</v>
      </c>
      <c r="L8" s="171"/>
      <c r="M8" s="171"/>
      <c r="N8" s="171"/>
      <c r="O8" s="171"/>
      <c r="P8" s="171"/>
      <c r="Q8" s="171">
        <v>0</v>
      </c>
      <c r="R8" s="171"/>
      <c r="S8" s="171"/>
      <c r="T8" s="171"/>
    </row>
    <row r="9" spans="1:23" ht="26.25" customHeight="1" x14ac:dyDescent="0.25">
      <c r="A9" s="259" t="s">
        <v>11</v>
      </c>
      <c r="B9" s="171">
        <v>0</v>
      </c>
      <c r="C9" s="171">
        <v>0</v>
      </c>
      <c r="D9" s="171">
        <v>0</v>
      </c>
      <c r="E9" s="171">
        <v>0.75</v>
      </c>
      <c r="F9" s="171">
        <v>0.5</v>
      </c>
      <c r="G9" s="171">
        <v>0</v>
      </c>
      <c r="H9" s="171">
        <v>0</v>
      </c>
      <c r="I9" s="130"/>
      <c r="J9" s="171">
        <v>0.66666666666666663</v>
      </c>
      <c r="K9" s="171">
        <v>0.5</v>
      </c>
      <c r="L9" s="171">
        <v>1</v>
      </c>
      <c r="M9" s="171">
        <v>0</v>
      </c>
      <c r="N9" s="171">
        <v>0.5</v>
      </c>
      <c r="O9" s="171">
        <v>0</v>
      </c>
      <c r="P9" s="171"/>
      <c r="Q9" s="171"/>
      <c r="R9" s="171">
        <v>0.5</v>
      </c>
      <c r="S9" s="171"/>
      <c r="T9" s="171"/>
    </row>
    <row r="10" spans="1:23" ht="26.25" customHeight="1" x14ac:dyDescent="0.25">
      <c r="A10" s="259" t="s">
        <v>14</v>
      </c>
      <c r="B10" s="171">
        <v>0</v>
      </c>
      <c r="C10" s="171">
        <v>0</v>
      </c>
      <c r="D10" s="171">
        <v>1</v>
      </c>
      <c r="E10" s="171">
        <v>0.33333333333333331</v>
      </c>
      <c r="F10" s="171">
        <v>0</v>
      </c>
      <c r="G10" s="171">
        <v>0</v>
      </c>
      <c r="H10" s="171">
        <v>0</v>
      </c>
      <c r="I10" s="171">
        <v>0.66666666666666663</v>
      </c>
      <c r="J10" s="130"/>
      <c r="K10" s="171">
        <v>0</v>
      </c>
      <c r="L10" s="171"/>
      <c r="M10" s="171">
        <v>0</v>
      </c>
      <c r="N10" s="171"/>
      <c r="O10" s="171"/>
      <c r="P10" s="171"/>
      <c r="Q10" s="171">
        <v>0</v>
      </c>
      <c r="R10" s="171">
        <v>0</v>
      </c>
      <c r="S10" s="171"/>
      <c r="T10" s="171">
        <v>0</v>
      </c>
    </row>
    <row r="11" spans="1:23" ht="26.25" customHeight="1" x14ac:dyDescent="0.25">
      <c r="A11" s="259" t="s">
        <v>40</v>
      </c>
      <c r="B11" s="171">
        <v>1</v>
      </c>
      <c r="C11" s="171">
        <v>0</v>
      </c>
      <c r="D11" s="171">
        <v>0</v>
      </c>
      <c r="E11" s="171"/>
      <c r="F11" s="171">
        <v>1</v>
      </c>
      <c r="G11" s="171"/>
      <c r="H11" s="171">
        <v>0</v>
      </c>
      <c r="I11" s="171">
        <v>0.5</v>
      </c>
      <c r="J11" s="171">
        <v>0</v>
      </c>
      <c r="K11" s="130"/>
      <c r="L11" s="171"/>
      <c r="M11" s="171">
        <v>0</v>
      </c>
      <c r="N11" s="171"/>
      <c r="O11" s="171">
        <v>0</v>
      </c>
      <c r="P11" s="171"/>
      <c r="Q11" s="171"/>
      <c r="R11" s="171"/>
      <c r="S11" s="171"/>
      <c r="T11" s="171"/>
    </row>
    <row r="12" spans="1:23" ht="26.25" customHeight="1" x14ac:dyDescent="0.25">
      <c r="A12" s="259" t="s">
        <v>54</v>
      </c>
      <c r="B12" s="171"/>
      <c r="C12" s="171"/>
      <c r="D12" s="171"/>
      <c r="E12" s="171">
        <v>0</v>
      </c>
      <c r="F12" s="171">
        <v>0.33333333333333331</v>
      </c>
      <c r="G12" s="171"/>
      <c r="H12" s="171"/>
      <c r="I12" s="171">
        <v>1</v>
      </c>
      <c r="J12" s="171"/>
      <c r="K12" s="171"/>
      <c r="L12" s="130"/>
      <c r="M12" s="171"/>
      <c r="N12" s="171"/>
      <c r="O12" s="171"/>
      <c r="P12" s="171"/>
      <c r="Q12" s="171"/>
      <c r="R12" s="171"/>
      <c r="S12" s="171"/>
      <c r="T12" s="171"/>
    </row>
    <row r="13" spans="1:23" ht="26.25" customHeight="1" x14ac:dyDescent="0.25">
      <c r="A13" s="259" t="s">
        <v>53</v>
      </c>
      <c r="B13" s="171">
        <v>0</v>
      </c>
      <c r="C13" s="171">
        <v>0</v>
      </c>
      <c r="D13" s="171"/>
      <c r="E13" s="171">
        <v>0.33333333333333331</v>
      </c>
      <c r="F13" s="171">
        <v>0</v>
      </c>
      <c r="G13" s="171"/>
      <c r="H13" s="171"/>
      <c r="I13" s="171">
        <v>0</v>
      </c>
      <c r="J13" s="171">
        <v>0</v>
      </c>
      <c r="K13" s="171">
        <v>0</v>
      </c>
      <c r="L13" s="171"/>
      <c r="M13" s="130"/>
      <c r="N13" s="171">
        <v>0</v>
      </c>
      <c r="O13" s="171"/>
      <c r="P13" s="171"/>
      <c r="Q13" s="171"/>
      <c r="R13" s="171">
        <v>0</v>
      </c>
      <c r="S13" s="171"/>
      <c r="T13" s="171"/>
    </row>
    <row r="14" spans="1:23" ht="26.25" customHeight="1" x14ac:dyDescent="0.25">
      <c r="A14" s="259" t="s">
        <v>55</v>
      </c>
      <c r="B14" s="171">
        <v>1</v>
      </c>
      <c r="C14" s="171">
        <v>0</v>
      </c>
      <c r="D14" s="171">
        <v>0</v>
      </c>
      <c r="E14" s="171">
        <v>0</v>
      </c>
      <c r="F14" s="171">
        <v>0.5</v>
      </c>
      <c r="G14" s="171"/>
      <c r="H14" s="171"/>
      <c r="I14" s="171">
        <v>0.5</v>
      </c>
      <c r="J14" s="171"/>
      <c r="K14" s="171"/>
      <c r="L14" s="171"/>
      <c r="M14" s="171">
        <v>0</v>
      </c>
      <c r="N14" s="130"/>
      <c r="O14" s="171"/>
      <c r="P14" s="171"/>
      <c r="Q14" s="171"/>
      <c r="R14" s="171"/>
      <c r="S14" s="171"/>
      <c r="T14" s="171"/>
    </row>
    <row r="15" spans="1:23" ht="26.25" customHeight="1" x14ac:dyDescent="0.25">
      <c r="A15" s="259" t="s">
        <v>69</v>
      </c>
      <c r="B15" s="171"/>
      <c r="C15" s="171"/>
      <c r="D15" s="171"/>
      <c r="E15" s="171">
        <v>0</v>
      </c>
      <c r="F15" s="171"/>
      <c r="G15" s="171"/>
      <c r="H15" s="171"/>
      <c r="I15" s="171">
        <v>0</v>
      </c>
      <c r="J15" s="171"/>
      <c r="K15" s="171">
        <v>0</v>
      </c>
      <c r="L15" s="171"/>
      <c r="M15" s="171"/>
      <c r="N15" s="171"/>
      <c r="O15" s="130"/>
      <c r="P15" s="171"/>
      <c r="Q15" s="171"/>
      <c r="R15" s="171"/>
      <c r="S15" s="171"/>
      <c r="T15" s="171"/>
    </row>
    <row r="16" spans="1:23" ht="26.25" customHeight="1" x14ac:dyDescent="0.25">
      <c r="A16" s="259" t="s">
        <v>68</v>
      </c>
      <c r="B16" s="171"/>
      <c r="C16" s="171"/>
      <c r="D16" s="171"/>
      <c r="E16" s="171"/>
      <c r="F16" s="171"/>
      <c r="G16" s="171">
        <v>0</v>
      </c>
      <c r="H16" s="171"/>
      <c r="I16" s="171"/>
      <c r="J16" s="171"/>
      <c r="K16" s="171"/>
      <c r="L16" s="171"/>
      <c r="M16" s="171"/>
      <c r="N16" s="171"/>
      <c r="O16" s="171"/>
      <c r="P16" s="130"/>
      <c r="Q16" s="171"/>
      <c r="R16" s="171"/>
      <c r="S16" s="171"/>
      <c r="T16" s="171"/>
    </row>
    <row r="17" spans="1:21" ht="26.25" customHeight="1" x14ac:dyDescent="0.25">
      <c r="A17" s="259" t="s">
        <v>70</v>
      </c>
      <c r="B17" s="171"/>
      <c r="C17" s="171"/>
      <c r="D17" s="171"/>
      <c r="E17" s="171"/>
      <c r="F17" s="171"/>
      <c r="G17" s="171"/>
      <c r="H17" s="171">
        <v>0</v>
      </c>
      <c r="I17" s="171"/>
      <c r="J17" s="171">
        <v>0</v>
      </c>
      <c r="K17" s="171"/>
      <c r="L17" s="171"/>
      <c r="M17" s="171"/>
      <c r="N17" s="171"/>
      <c r="O17" s="171"/>
      <c r="P17" s="171"/>
      <c r="Q17" s="130"/>
      <c r="R17" s="171">
        <v>1</v>
      </c>
      <c r="S17" s="171"/>
      <c r="T17" s="171"/>
    </row>
    <row r="18" spans="1:21" ht="26.25" customHeight="1" x14ac:dyDescent="0.25">
      <c r="A18" s="259" t="s">
        <v>71</v>
      </c>
      <c r="B18" s="171">
        <v>0.5</v>
      </c>
      <c r="C18" s="171"/>
      <c r="D18" s="171"/>
      <c r="E18" s="171"/>
      <c r="F18" s="171"/>
      <c r="G18" s="171"/>
      <c r="H18" s="171"/>
      <c r="I18" s="171">
        <v>0.5</v>
      </c>
      <c r="J18" s="171">
        <v>0</v>
      </c>
      <c r="K18" s="171"/>
      <c r="L18" s="171"/>
      <c r="M18" s="171">
        <v>0</v>
      </c>
      <c r="N18" s="171"/>
      <c r="O18" s="171"/>
      <c r="P18" s="171"/>
      <c r="Q18" s="171">
        <v>1</v>
      </c>
      <c r="R18" s="130"/>
      <c r="S18" s="171"/>
      <c r="T18" s="171">
        <v>1</v>
      </c>
    </row>
    <row r="19" spans="1:21" ht="26.25" customHeight="1" x14ac:dyDescent="0.25">
      <c r="A19" s="259" t="s">
        <v>79</v>
      </c>
      <c r="B19" s="171">
        <v>0</v>
      </c>
      <c r="C19" s="171">
        <v>0</v>
      </c>
      <c r="D19" s="171"/>
      <c r="E19" s="171"/>
      <c r="F19" s="171">
        <v>1</v>
      </c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30"/>
      <c r="T19" s="171"/>
    </row>
    <row r="20" spans="1:21" ht="26.25" customHeight="1" x14ac:dyDescent="0.25">
      <c r="A20" s="260" t="s">
        <v>90</v>
      </c>
      <c r="B20" s="171">
        <v>1</v>
      </c>
      <c r="C20" s="171">
        <v>0</v>
      </c>
      <c r="D20" s="171"/>
      <c r="E20" s="171"/>
      <c r="F20" s="171">
        <v>1</v>
      </c>
      <c r="G20" s="171"/>
      <c r="H20" s="171"/>
      <c r="I20" s="171"/>
      <c r="J20" s="171">
        <v>0</v>
      </c>
      <c r="K20" s="171"/>
      <c r="L20" s="171"/>
      <c r="M20" s="171"/>
      <c r="N20" s="171"/>
      <c r="O20" s="171"/>
      <c r="P20" s="171"/>
      <c r="Q20" s="171"/>
      <c r="R20" s="171">
        <v>1</v>
      </c>
      <c r="S20" s="171"/>
      <c r="T20" s="130"/>
    </row>
    <row r="21" spans="1:21" ht="26.25" customHeight="1" x14ac:dyDescent="0.25">
      <c r="U21" s="130"/>
    </row>
    <row r="22" spans="1:21" ht="26.25" customHeight="1" x14ac:dyDescent="0.25"/>
    <row r="23" spans="1:21" ht="26.25" customHeight="1" x14ac:dyDescent="0.25"/>
    <row r="24" spans="1:21" ht="26.2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mposterWChart">
                <anchor moveWithCells="1" sizeWithCells="1">
                  <from>
                    <xdr:col>20</xdr:col>
                    <xdr:colOff>257175</xdr:colOff>
                    <xdr:row>1</xdr:row>
                    <xdr:rowOff>228600</xdr:rowOff>
                  </from>
                  <to>
                    <xdr:col>23</xdr:col>
                    <xdr:colOff>123825</xdr:colOff>
                    <xdr:row>4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119" id="{D0BD8690-DAB7-4E8B-BFF7-2578571060B4}">
            <x14:colorScale>
              <x14:cfvo type="num">
                <xm:f>0</xm:f>
              </x14:cfvo>
              <x14:cfvo type="num">
                <xm:f>'Advanced Lobby Stats'!$AV$5</xm:f>
              </x14:cfvo>
              <x14:cfvo type="max"/>
              <x14:color rgb="FFF8696B"/>
              <x14:color rgb="FFFFEB84"/>
              <x14:color rgb="FF63BE7B"/>
            </x14:colorScale>
          </x14:cfRule>
          <xm:sqref>A1:XFD1048576 A1:XFD1 A1:A1048576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980D-034D-43D4-874C-339052C2BAB3}">
  <sheetPr codeName="Sheet6"/>
  <dimension ref="A1:AV38"/>
  <sheetViews>
    <sheetView showGridLines="0" tabSelected="1" zoomScale="80" zoomScaleNormal="80" workbookViewId="0">
      <pane xSplit="1" ySplit="2" topLeftCell="B3" activePane="bottomRight" state="frozen"/>
      <selection activeCell="G29" sqref="G29"/>
      <selection pane="topRight" activeCell="G29" sqref="G29"/>
      <selection pane="bottomLeft" activeCell="G29" sqref="G29"/>
      <selection pane="bottomRight" activeCell="K27" sqref="K27"/>
    </sheetView>
  </sheetViews>
  <sheetFormatPr defaultRowHeight="15" x14ac:dyDescent="0.25"/>
  <cols>
    <col min="1" max="1" width="12.85546875" style="271" bestFit="1" customWidth="1"/>
    <col min="2" max="2" width="13" style="270" customWidth="1"/>
    <col min="3" max="3" width="19.5703125" style="270" customWidth="1"/>
    <col min="4" max="4" width="18.7109375" style="270" customWidth="1"/>
    <col min="5" max="5" width="17.140625" style="270" customWidth="1"/>
    <col min="6" max="6" width="16.28515625" style="270" customWidth="1"/>
    <col min="7" max="7" width="18.85546875" style="271" hidden="1" customWidth="1"/>
    <col min="8" max="8" width="17.140625" style="271" hidden="1" customWidth="1"/>
    <col min="9" max="9" width="18" style="271" hidden="1" customWidth="1"/>
    <col min="10" max="10" width="16.28515625" style="271" hidden="1" customWidth="1"/>
    <col min="11" max="11" width="22" style="271" customWidth="1"/>
    <col min="12" max="12" width="23" style="271" customWidth="1"/>
    <col min="13" max="13" width="11.42578125" style="270" customWidth="1"/>
    <col min="14" max="14" width="18" style="270" customWidth="1"/>
    <col min="15" max="15" width="16.7109375" style="270" customWidth="1"/>
    <col min="16" max="16" width="15.42578125" style="270" customWidth="1"/>
    <col min="17" max="17" width="14.28515625" style="270" customWidth="1"/>
    <col min="18" max="18" width="19.140625" style="271" hidden="1" customWidth="1"/>
    <col min="19" max="21" width="20.140625" style="271" hidden="1" customWidth="1"/>
    <col min="22" max="23" width="20.140625" style="264" customWidth="1"/>
    <col min="24" max="24" width="11.42578125" style="270" customWidth="1"/>
    <col min="25" max="25" width="18" style="270" customWidth="1"/>
    <col min="26" max="26" width="16.7109375" style="270" customWidth="1"/>
    <col min="27" max="27" width="15.42578125" style="270" customWidth="1"/>
    <col min="28" max="28" width="14.28515625" style="270" customWidth="1"/>
    <col min="29" max="29" width="19.140625" style="271" hidden="1" customWidth="1"/>
    <col min="30" max="32" width="20.140625" style="271" hidden="1" customWidth="1"/>
    <col min="33" max="34" width="20.140625" style="271" customWidth="1"/>
    <col min="35" max="35" width="11.42578125" style="270" customWidth="1"/>
    <col min="36" max="36" width="18" style="270" customWidth="1"/>
    <col min="37" max="37" width="16.7109375" style="270" customWidth="1"/>
    <col min="38" max="38" width="15.42578125" style="270" customWidth="1"/>
    <col min="39" max="39" width="14.28515625" style="270" customWidth="1"/>
    <col min="40" max="40" width="19.140625" style="271" hidden="1" customWidth="1"/>
    <col min="41" max="43" width="20.140625" style="271" hidden="1" customWidth="1"/>
    <col min="44" max="45" width="20.140625" style="271" customWidth="1"/>
    <col min="46" max="46" width="9.140625" style="271"/>
    <col min="47" max="47" width="18.85546875" style="271" bestFit="1" customWidth="1"/>
    <col min="48" max="16384" width="9.140625" style="271"/>
  </cols>
  <sheetData>
    <row r="1" spans="1:48" x14ac:dyDescent="0.25">
      <c r="A1" s="297"/>
      <c r="B1" s="384" t="s">
        <v>42</v>
      </c>
      <c r="C1" s="385"/>
      <c r="D1" s="385"/>
      <c r="E1" s="385"/>
      <c r="F1" s="385"/>
      <c r="G1" s="385"/>
      <c r="H1" s="385"/>
      <c r="I1" s="385"/>
      <c r="J1" s="385"/>
      <c r="K1" s="385"/>
      <c r="L1" s="386"/>
      <c r="M1" s="393" t="s">
        <v>22</v>
      </c>
      <c r="N1" s="394"/>
      <c r="O1" s="394"/>
      <c r="P1" s="394"/>
      <c r="Q1" s="394"/>
      <c r="R1" s="394"/>
      <c r="S1" s="394"/>
      <c r="T1" s="394"/>
      <c r="U1" s="394"/>
      <c r="V1" s="394"/>
      <c r="W1" s="395"/>
      <c r="X1" s="390" t="s">
        <v>19</v>
      </c>
      <c r="Y1" s="391"/>
      <c r="Z1" s="391"/>
      <c r="AA1" s="391"/>
      <c r="AB1" s="391"/>
      <c r="AC1" s="391"/>
      <c r="AD1" s="391"/>
      <c r="AE1" s="391"/>
      <c r="AF1" s="391"/>
      <c r="AG1" s="391"/>
      <c r="AH1" s="392"/>
      <c r="AI1" s="387" t="s">
        <v>24</v>
      </c>
      <c r="AJ1" s="388"/>
      <c r="AK1" s="388"/>
      <c r="AL1" s="388"/>
      <c r="AM1" s="388"/>
      <c r="AN1" s="388"/>
      <c r="AO1" s="388"/>
      <c r="AP1" s="388"/>
      <c r="AQ1" s="388"/>
      <c r="AR1" s="388"/>
      <c r="AS1" s="389"/>
    </row>
    <row r="2" spans="1:48" x14ac:dyDescent="0.25">
      <c r="A2" s="313" t="s">
        <v>73</v>
      </c>
      <c r="B2" s="217" t="s">
        <v>78</v>
      </c>
      <c r="C2" s="46" t="s">
        <v>77</v>
      </c>
      <c r="D2" s="46" t="s">
        <v>76</v>
      </c>
      <c r="E2" s="46" t="s">
        <v>87</v>
      </c>
      <c r="F2" s="46" t="s">
        <v>88</v>
      </c>
      <c r="G2" s="46" t="s">
        <v>58</v>
      </c>
      <c r="H2" s="46" t="s">
        <v>61</v>
      </c>
      <c r="I2" s="46" t="s">
        <v>62</v>
      </c>
      <c r="J2" s="46" t="s">
        <v>63</v>
      </c>
      <c r="K2" s="46" t="s">
        <v>74</v>
      </c>
      <c r="L2" s="47" t="s">
        <v>75</v>
      </c>
      <c r="M2" s="196" t="s">
        <v>78</v>
      </c>
      <c r="N2" s="197" t="s">
        <v>77</v>
      </c>
      <c r="O2" s="197" t="s">
        <v>76</v>
      </c>
      <c r="P2" s="197" t="s">
        <v>87</v>
      </c>
      <c r="Q2" s="197" t="s">
        <v>88</v>
      </c>
      <c r="R2" s="197" t="s">
        <v>58</v>
      </c>
      <c r="S2" s="197" t="s">
        <v>61</v>
      </c>
      <c r="T2" s="197" t="s">
        <v>62</v>
      </c>
      <c r="U2" s="197" t="s">
        <v>63</v>
      </c>
      <c r="V2" s="197" t="s">
        <v>74</v>
      </c>
      <c r="W2" s="198" t="s">
        <v>75</v>
      </c>
      <c r="X2" s="306" t="s">
        <v>78</v>
      </c>
      <c r="Y2" s="194" t="s">
        <v>77</v>
      </c>
      <c r="Z2" s="194" t="s">
        <v>76</v>
      </c>
      <c r="AA2" s="194" t="s">
        <v>87</v>
      </c>
      <c r="AB2" s="194" t="s">
        <v>88</v>
      </c>
      <c r="AC2" s="194" t="s">
        <v>58</v>
      </c>
      <c r="AD2" s="194" t="s">
        <v>61</v>
      </c>
      <c r="AE2" s="194" t="s">
        <v>62</v>
      </c>
      <c r="AF2" s="194" t="s">
        <v>63</v>
      </c>
      <c r="AG2" s="194" t="s">
        <v>74</v>
      </c>
      <c r="AH2" s="195" t="s">
        <v>75</v>
      </c>
      <c r="AI2" s="193" t="s">
        <v>78</v>
      </c>
      <c r="AJ2" s="192" t="s">
        <v>77</v>
      </c>
      <c r="AK2" s="192" t="s">
        <v>76</v>
      </c>
      <c r="AL2" s="192" t="s">
        <v>87</v>
      </c>
      <c r="AM2" s="192" t="s">
        <v>88</v>
      </c>
      <c r="AN2" s="192" t="s">
        <v>58</v>
      </c>
      <c r="AO2" s="192" t="s">
        <v>61</v>
      </c>
      <c r="AP2" s="192" t="s">
        <v>62</v>
      </c>
      <c r="AQ2" s="192" t="s">
        <v>63</v>
      </c>
      <c r="AR2" s="192" t="s">
        <v>74</v>
      </c>
      <c r="AS2" s="223" t="s">
        <v>75</v>
      </c>
      <c r="AU2" s="396" t="s">
        <v>42</v>
      </c>
      <c r="AV2" s="396"/>
    </row>
    <row r="3" spans="1:48" x14ac:dyDescent="0.25">
      <c r="A3" s="298" t="s">
        <v>41</v>
      </c>
      <c r="B3" s="230">
        <v>3.9856686484248144E-2</v>
      </c>
      <c r="C3" s="229">
        <v>3.0520262656875352E-2</v>
      </c>
      <c r="D3" s="229">
        <v>7.4472664657770138E-2</v>
      </c>
      <c r="E3" s="231">
        <v>0.71264367816091956</v>
      </c>
      <c r="F3" s="231">
        <v>0.41379310344827586</v>
      </c>
      <c r="G3" s="228">
        <v>87</v>
      </c>
      <c r="H3" s="228">
        <v>62</v>
      </c>
      <c r="I3" s="228">
        <v>29</v>
      </c>
      <c r="J3" s="228">
        <v>12</v>
      </c>
      <c r="K3" s="228">
        <f t="shared" ref="K3:K21" si="0">SUM(V3,AG3,AR3)</f>
        <v>71</v>
      </c>
      <c r="L3" s="362">
        <f t="shared" ref="L3:L21" si="1">SUM(W3,AH3,AS3)</f>
        <v>45</v>
      </c>
      <c r="M3" s="189">
        <f t="shared" ref="M3:M21" si="2">IF(SUM(V3:W3)&gt;19,N3*((S3/(R3+S3))+7)/((S3/(R3+S3))+9)+(O3*(2/((S3/(R3+S3))+9))),"")</f>
        <v>3.9856686484248144E-2</v>
      </c>
      <c r="N3" s="190">
        <f t="shared" ref="N3:N21" si="3">IF(SUM(V3:W3)&gt;19,P3-$AV$9,"")</f>
        <v>3.0520262656875352E-2</v>
      </c>
      <c r="O3" s="190">
        <f t="shared" ref="O3:O21" si="4">IF(SUM(V3:W3)&gt;19,Q3-$AV$10,"")</f>
        <v>7.4472664657770138E-2</v>
      </c>
      <c r="P3" s="187">
        <v>0.71014492753623193</v>
      </c>
      <c r="Q3" s="187">
        <v>0.39130434782608697</v>
      </c>
      <c r="R3" s="199">
        <v>69</v>
      </c>
      <c r="S3" s="199">
        <v>49</v>
      </c>
      <c r="T3" s="199">
        <v>23</v>
      </c>
      <c r="U3" s="199">
        <v>9</v>
      </c>
      <c r="V3" s="199">
        <v>57</v>
      </c>
      <c r="W3" s="232">
        <v>35</v>
      </c>
      <c r="X3" s="189" t="str">
        <f t="shared" ref="X3:X21" si="5">IF(SUM(AG3:AH3)&gt;19,Y3*((AD3/(AC3+AD3))+7)/((AD3/(AC3+AD3))+9)+(Z3*(2/((AD3/(AC3+AD3))+9))),"")</f>
        <v/>
      </c>
      <c r="Y3" s="190" t="str">
        <f t="shared" ref="Y3:Y21" si="6">IF(SUM(AG3:AH3)&gt;19,AA3-$AV$14,"")</f>
        <v/>
      </c>
      <c r="Z3" s="190" t="str">
        <f t="shared" ref="Z3:Z21" si="7">IF(SUM(AG3:AH3)&gt;19,AB3-$AV$15,"")</f>
        <v/>
      </c>
      <c r="AA3" s="187">
        <v>0.8</v>
      </c>
      <c r="AB3" s="187">
        <v>0.66666666666666663</v>
      </c>
      <c r="AC3" s="200">
        <v>10</v>
      </c>
      <c r="AD3" s="200">
        <v>8</v>
      </c>
      <c r="AE3" s="200">
        <v>3</v>
      </c>
      <c r="AF3" s="200">
        <v>2</v>
      </c>
      <c r="AG3" s="200">
        <v>10</v>
      </c>
      <c r="AH3" s="307">
        <v>3</v>
      </c>
      <c r="AI3" s="189" t="str">
        <f t="shared" ref="AI3:AI21" si="8">IF(SUM(AR3:AS3)&gt;19,AJ3*((AS3/(AR3+AS3))+7)/((AS3/(AR3+AS3))+9)+(AK3*(2/((AS3/(AR3+AS3))+9))),"")</f>
        <v/>
      </c>
      <c r="AJ3" s="190" t="str">
        <f t="shared" ref="AJ3:AJ21" si="9">IF(SUM(AR3:AS3)&gt;19,AL3-$AV$19,"")</f>
        <v/>
      </c>
      <c r="AK3" s="190" t="str">
        <f t="shared" ref="AK3:AK21" si="10">IF(SUM(AR3:AS3)&gt;19,AM3-$AV$20,"")</f>
        <v/>
      </c>
      <c r="AL3" s="187">
        <v>0.625</v>
      </c>
      <c r="AM3" s="187">
        <v>0.33333333333333331</v>
      </c>
      <c r="AN3" s="124">
        <v>8</v>
      </c>
      <c r="AO3" s="124">
        <v>5</v>
      </c>
      <c r="AP3" s="124">
        <v>3</v>
      </c>
      <c r="AQ3" s="124">
        <v>1</v>
      </c>
      <c r="AR3" s="124">
        <v>4</v>
      </c>
      <c r="AS3" s="225">
        <v>7</v>
      </c>
      <c r="AU3" s="179" t="s">
        <v>31</v>
      </c>
      <c r="AV3" s="180" cm="1">
        <f t="array" ref="AV3">SUM('Lobby Stats'!C3:C50/SUM('Lobby Stats'!B3:B50))</f>
        <v>0.61742983751846381</v>
      </c>
    </row>
    <row r="4" spans="1:48" x14ac:dyDescent="0.25">
      <c r="A4" s="298" t="s">
        <v>66</v>
      </c>
      <c r="B4" s="224">
        <v>-7.6946874894882861E-2</v>
      </c>
      <c r="C4" s="190">
        <v>-4.5690522412544989E-2</v>
      </c>
      <c r="D4" s="190">
        <v>-0.19266146112537005</v>
      </c>
      <c r="E4" s="191">
        <v>0.676056338028169</v>
      </c>
      <c r="F4" s="191">
        <v>8.3333333333333329E-2</v>
      </c>
      <c r="G4" s="201">
        <v>71</v>
      </c>
      <c r="H4" s="201">
        <v>48</v>
      </c>
      <c r="I4" s="201">
        <v>24</v>
      </c>
      <c r="J4" s="201">
        <v>2</v>
      </c>
      <c r="K4" s="201">
        <f t="shared" si="0"/>
        <v>70</v>
      </c>
      <c r="L4" s="299">
        <f t="shared" si="1"/>
        <v>25</v>
      </c>
      <c r="M4" s="189">
        <f t="shared" si="2"/>
        <v>-8.8095032121760369E-2</v>
      </c>
      <c r="N4" s="190">
        <f t="shared" si="3"/>
        <v>-5.8003043257734976E-2</v>
      </c>
      <c r="O4" s="190">
        <f t="shared" si="4"/>
        <v>-0.19918462434478743</v>
      </c>
      <c r="P4" s="187">
        <v>0.6216216216216216</v>
      </c>
      <c r="Q4" s="221">
        <v>0.11764705882352941</v>
      </c>
      <c r="R4" s="199">
        <v>37</v>
      </c>
      <c r="S4" s="199">
        <v>23</v>
      </c>
      <c r="T4" s="199">
        <v>17</v>
      </c>
      <c r="U4" s="199">
        <v>2</v>
      </c>
      <c r="V4" s="199">
        <v>39</v>
      </c>
      <c r="W4" s="232">
        <v>15</v>
      </c>
      <c r="X4" s="189">
        <f t="shared" si="5"/>
        <v>-5.2866855284827458E-2</v>
      </c>
      <c r="Y4" s="190">
        <f t="shared" si="6"/>
        <v>-1.9095477386934623E-2</v>
      </c>
      <c r="Z4" s="190">
        <f t="shared" si="7"/>
        <v>-0.17857142857142858</v>
      </c>
      <c r="AA4" s="187">
        <v>0.8</v>
      </c>
      <c r="AB4" s="187">
        <v>0</v>
      </c>
      <c r="AC4" s="200">
        <v>20</v>
      </c>
      <c r="AD4" s="200">
        <v>16</v>
      </c>
      <c r="AE4" s="200">
        <v>5</v>
      </c>
      <c r="AF4" s="200"/>
      <c r="AG4" s="200">
        <v>22</v>
      </c>
      <c r="AH4" s="307">
        <v>3</v>
      </c>
      <c r="AI4" s="189" t="str">
        <f t="shared" si="8"/>
        <v/>
      </c>
      <c r="AJ4" s="190" t="str">
        <f t="shared" si="9"/>
        <v/>
      </c>
      <c r="AK4" s="190" t="str">
        <f t="shared" si="10"/>
        <v/>
      </c>
      <c r="AL4" s="187">
        <v>0.6428571428571429</v>
      </c>
      <c r="AM4" s="187">
        <v>0</v>
      </c>
      <c r="AN4" s="124">
        <v>14</v>
      </c>
      <c r="AO4" s="124">
        <v>9</v>
      </c>
      <c r="AP4" s="124">
        <v>2</v>
      </c>
      <c r="AQ4" s="124"/>
      <c r="AR4" s="124">
        <v>9</v>
      </c>
      <c r="AS4" s="225">
        <v>7</v>
      </c>
      <c r="AU4" s="181" t="s">
        <v>80</v>
      </c>
      <c r="AV4" s="182">
        <f>SUM('Lobby Stats'!G3:G50)/SUM('Lobby Stats'!E3:E50)</f>
        <v>0.70676691729323304</v>
      </c>
    </row>
    <row r="5" spans="1:48" x14ac:dyDescent="0.25">
      <c r="A5" s="298" t="s">
        <v>8</v>
      </c>
      <c r="B5" s="224">
        <v>5.4260907718275395E-2</v>
      </c>
      <c r="C5" s="190">
        <v>0.12037533512064347</v>
      </c>
      <c r="D5" s="190">
        <v>-0.19183168316831684</v>
      </c>
      <c r="E5" s="191">
        <v>0.77551020408163263</v>
      </c>
      <c r="F5" s="191">
        <v>0.23529411764705882</v>
      </c>
      <c r="G5" s="201">
        <v>49</v>
      </c>
      <c r="H5" s="201">
        <v>38</v>
      </c>
      <c r="I5" s="201">
        <v>17</v>
      </c>
      <c r="J5" s="201">
        <v>4</v>
      </c>
      <c r="K5" s="201">
        <f t="shared" si="0"/>
        <v>41</v>
      </c>
      <c r="L5" s="299">
        <f t="shared" si="1"/>
        <v>25</v>
      </c>
      <c r="M5" s="189">
        <f t="shared" si="2"/>
        <v>5.4260907718275402E-2</v>
      </c>
      <c r="N5" s="190">
        <f t="shared" si="3"/>
        <v>0.12037533512064347</v>
      </c>
      <c r="O5" s="190">
        <f t="shared" si="4"/>
        <v>-0.19183168316831684</v>
      </c>
      <c r="P5" s="221">
        <v>0.8</v>
      </c>
      <c r="Q5" s="187">
        <v>0.125</v>
      </c>
      <c r="R5" s="199">
        <v>30</v>
      </c>
      <c r="S5" s="199">
        <v>24</v>
      </c>
      <c r="T5" s="199">
        <v>8</v>
      </c>
      <c r="U5" s="199">
        <v>1</v>
      </c>
      <c r="V5" s="199">
        <v>22</v>
      </c>
      <c r="W5" s="232">
        <v>16</v>
      </c>
      <c r="X5" s="189" t="str">
        <f t="shared" si="5"/>
        <v/>
      </c>
      <c r="Y5" s="190" t="str">
        <f t="shared" si="6"/>
        <v/>
      </c>
      <c r="Z5" s="190" t="str">
        <f t="shared" si="7"/>
        <v/>
      </c>
      <c r="AA5" s="187">
        <v>0.76923076923076927</v>
      </c>
      <c r="AB5" s="187">
        <v>0.4</v>
      </c>
      <c r="AC5" s="200">
        <v>13</v>
      </c>
      <c r="AD5" s="200">
        <v>10</v>
      </c>
      <c r="AE5" s="200">
        <v>5</v>
      </c>
      <c r="AF5" s="200">
        <v>2</v>
      </c>
      <c r="AG5" s="200">
        <v>15</v>
      </c>
      <c r="AH5" s="307">
        <v>3</v>
      </c>
      <c r="AI5" s="189" t="str">
        <f t="shared" si="8"/>
        <v/>
      </c>
      <c r="AJ5" s="190" t="str">
        <f t="shared" si="9"/>
        <v/>
      </c>
      <c r="AK5" s="190" t="str">
        <f t="shared" si="10"/>
        <v/>
      </c>
      <c r="AL5" s="187">
        <v>0.66666666666666663</v>
      </c>
      <c r="AM5" s="187">
        <v>0.25</v>
      </c>
      <c r="AN5" s="124">
        <v>6</v>
      </c>
      <c r="AO5" s="124">
        <v>4</v>
      </c>
      <c r="AP5" s="124">
        <v>4</v>
      </c>
      <c r="AQ5" s="124">
        <v>1</v>
      </c>
      <c r="AR5" s="124">
        <v>4</v>
      </c>
      <c r="AS5" s="225">
        <v>6</v>
      </c>
      <c r="AU5" s="183" t="s">
        <v>81</v>
      </c>
      <c r="AV5" s="184">
        <f>SUM('Lobby Stats'!K3:K50)/SUM('Lobby Stats'!I3:I50)</f>
        <v>0.28965517241379313</v>
      </c>
    </row>
    <row r="6" spans="1:48" x14ac:dyDescent="0.25">
      <c r="A6" s="298" t="s">
        <v>7</v>
      </c>
      <c r="B6" s="224">
        <v>4.3569126231390705E-2</v>
      </c>
      <c r="C6" s="190">
        <v>2.8731731589826781E-2</v>
      </c>
      <c r="D6" s="190">
        <v>9.8708010335917321E-2</v>
      </c>
      <c r="E6" s="191">
        <v>0.74782608695652175</v>
      </c>
      <c r="F6" s="191">
        <v>0.43333333333333335</v>
      </c>
      <c r="G6" s="201">
        <v>115</v>
      </c>
      <c r="H6" s="201">
        <v>86</v>
      </c>
      <c r="I6" s="201">
        <v>30</v>
      </c>
      <c r="J6" s="201">
        <v>13</v>
      </c>
      <c r="K6" s="201">
        <f t="shared" si="0"/>
        <v>97</v>
      </c>
      <c r="L6" s="299">
        <f t="shared" si="1"/>
        <v>48</v>
      </c>
      <c r="M6" s="189">
        <f t="shared" si="2"/>
        <v>4.2004047266005318E-2</v>
      </c>
      <c r="N6" s="190">
        <f t="shared" si="3"/>
        <v>3.0901650910117096E-2</v>
      </c>
      <c r="O6" s="190">
        <f t="shared" si="4"/>
        <v>8.3168316831683187E-2</v>
      </c>
      <c r="P6" s="187">
        <v>0.71052631578947367</v>
      </c>
      <c r="Q6" s="187">
        <v>0.4</v>
      </c>
      <c r="R6" s="222">
        <v>76</v>
      </c>
      <c r="S6" s="199">
        <v>54</v>
      </c>
      <c r="T6" s="199">
        <v>25</v>
      </c>
      <c r="U6" s="199">
        <v>10</v>
      </c>
      <c r="V6" s="199">
        <v>63</v>
      </c>
      <c r="W6" s="232">
        <v>38</v>
      </c>
      <c r="X6" s="189">
        <f t="shared" si="5"/>
        <v>4.9214589642245135E-2</v>
      </c>
      <c r="Y6" s="190">
        <f t="shared" si="6"/>
        <v>2.0904522613065302E-2</v>
      </c>
      <c r="Z6" s="190">
        <f t="shared" si="7"/>
        <v>0.15476190476190474</v>
      </c>
      <c r="AA6" s="187">
        <v>0.84</v>
      </c>
      <c r="AB6" s="187">
        <v>0.33333333333333331</v>
      </c>
      <c r="AC6" s="200">
        <v>25</v>
      </c>
      <c r="AD6" s="200">
        <v>21</v>
      </c>
      <c r="AE6" s="200">
        <v>3</v>
      </c>
      <c r="AF6" s="200">
        <v>1</v>
      </c>
      <c r="AG6" s="200">
        <v>25</v>
      </c>
      <c r="AH6" s="307">
        <v>3</v>
      </c>
      <c r="AI6" s="189" t="str">
        <f t="shared" si="8"/>
        <v/>
      </c>
      <c r="AJ6" s="190" t="str">
        <f t="shared" si="9"/>
        <v/>
      </c>
      <c r="AK6" s="190" t="str">
        <f t="shared" si="10"/>
        <v/>
      </c>
      <c r="AL6" s="187">
        <v>0.7857142857142857</v>
      </c>
      <c r="AM6" s="187">
        <v>1</v>
      </c>
      <c r="AN6" s="124">
        <v>14</v>
      </c>
      <c r="AO6" s="124">
        <v>11</v>
      </c>
      <c r="AP6" s="124">
        <v>2</v>
      </c>
      <c r="AQ6" s="124">
        <v>2</v>
      </c>
      <c r="AR6" s="124">
        <v>9</v>
      </c>
      <c r="AS6" s="225">
        <v>7</v>
      </c>
    </row>
    <row r="7" spans="1:48" x14ac:dyDescent="0.25">
      <c r="A7" s="298" t="s">
        <v>16</v>
      </c>
      <c r="B7" s="224">
        <v>8.2150435916784323E-2</v>
      </c>
      <c r="C7" s="190">
        <v>5.0940958360457055E-2</v>
      </c>
      <c r="D7" s="190">
        <v>0.198062015503876</v>
      </c>
      <c r="E7" s="191">
        <v>0.77586206896551724</v>
      </c>
      <c r="F7" s="191">
        <v>0.55172413793103448</v>
      </c>
      <c r="G7" s="201">
        <v>116</v>
      </c>
      <c r="H7" s="201">
        <v>90</v>
      </c>
      <c r="I7" s="201">
        <v>29</v>
      </c>
      <c r="J7" s="201">
        <v>16</v>
      </c>
      <c r="K7" s="201">
        <f t="shared" si="0"/>
        <v>97</v>
      </c>
      <c r="L7" s="299">
        <f t="shared" si="1"/>
        <v>48</v>
      </c>
      <c r="M7" s="189">
        <f t="shared" si="2"/>
        <v>9.7623774848309891E-2</v>
      </c>
      <c r="N7" s="190">
        <f t="shared" si="3"/>
        <v>6.1116075861384123E-2</v>
      </c>
      <c r="O7" s="190">
        <f t="shared" si="4"/>
        <v>0.23316831683168321</v>
      </c>
      <c r="P7" s="187">
        <v>0.7407407407407407</v>
      </c>
      <c r="Q7" s="187">
        <v>0.55000000000000004</v>
      </c>
      <c r="R7" s="199">
        <v>81</v>
      </c>
      <c r="S7" s="199">
        <v>60</v>
      </c>
      <c r="T7" s="199">
        <v>20</v>
      </c>
      <c r="U7" s="199">
        <v>11</v>
      </c>
      <c r="V7" s="199">
        <v>63</v>
      </c>
      <c r="W7" s="232">
        <v>38</v>
      </c>
      <c r="X7" s="189">
        <f t="shared" si="5"/>
        <v>2.6335891913781391E-2</v>
      </c>
      <c r="Y7" s="190">
        <f t="shared" si="6"/>
        <v>1.4237855946398703E-2</v>
      </c>
      <c r="Z7" s="190">
        <f t="shared" si="7"/>
        <v>7.1428571428571425E-2</v>
      </c>
      <c r="AA7" s="187">
        <v>0.83333333333333337</v>
      </c>
      <c r="AB7" s="187">
        <v>0.25</v>
      </c>
      <c r="AC7" s="200">
        <v>24</v>
      </c>
      <c r="AD7" s="200">
        <v>20</v>
      </c>
      <c r="AE7" s="200">
        <v>4</v>
      </c>
      <c r="AF7" s="200">
        <v>1</v>
      </c>
      <c r="AG7" s="200">
        <v>25</v>
      </c>
      <c r="AH7" s="307">
        <v>3</v>
      </c>
      <c r="AI7" s="189" t="str">
        <f t="shared" si="8"/>
        <v/>
      </c>
      <c r="AJ7" s="190" t="str">
        <f t="shared" si="9"/>
        <v/>
      </c>
      <c r="AK7" s="190" t="str">
        <f t="shared" si="10"/>
        <v/>
      </c>
      <c r="AL7" s="187">
        <v>0.90909090909090906</v>
      </c>
      <c r="AM7" s="187">
        <v>0.8</v>
      </c>
      <c r="AN7" s="124">
        <v>11</v>
      </c>
      <c r="AO7" s="124">
        <v>10</v>
      </c>
      <c r="AP7" s="124">
        <v>5</v>
      </c>
      <c r="AQ7" s="124">
        <v>4</v>
      </c>
      <c r="AR7" s="124">
        <v>9</v>
      </c>
      <c r="AS7" s="225">
        <v>7</v>
      </c>
      <c r="AU7" s="397" t="s">
        <v>22</v>
      </c>
      <c r="AV7" s="397"/>
    </row>
    <row r="8" spans="1:48" x14ac:dyDescent="0.25">
      <c r="A8" s="298" t="s">
        <v>17</v>
      </c>
      <c r="B8" s="224">
        <v>-6.3445746698267705E-2</v>
      </c>
      <c r="C8" s="190">
        <v>-8.5941072679169353E-3</v>
      </c>
      <c r="D8" s="218">
        <v>-0.26673738802451674</v>
      </c>
      <c r="E8" s="191">
        <v>0.7142857142857143</v>
      </c>
      <c r="F8" s="191">
        <v>0</v>
      </c>
      <c r="G8" s="201">
        <v>70</v>
      </c>
      <c r="H8" s="201">
        <v>50</v>
      </c>
      <c r="I8" s="201">
        <v>8</v>
      </c>
      <c r="J8" s="201">
        <v>0</v>
      </c>
      <c r="K8" s="201">
        <f t="shared" si="0"/>
        <v>51</v>
      </c>
      <c r="L8" s="299">
        <f t="shared" si="1"/>
        <v>27</v>
      </c>
      <c r="M8" s="189">
        <f t="shared" si="2"/>
        <v>-7.7611973735163764E-2</v>
      </c>
      <c r="N8" s="190">
        <f t="shared" si="3"/>
        <v>-1.2957998212689947E-2</v>
      </c>
      <c r="O8" s="190">
        <f t="shared" si="4"/>
        <v>-0.31683168316831684</v>
      </c>
      <c r="P8" s="187">
        <v>0.66666666666666663</v>
      </c>
      <c r="Q8" s="187">
        <v>0</v>
      </c>
      <c r="R8" s="199">
        <v>39</v>
      </c>
      <c r="S8" s="199">
        <v>26</v>
      </c>
      <c r="T8" s="199">
        <v>5</v>
      </c>
      <c r="U8" s="199"/>
      <c r="V8" s="199">
        <v>22</v>
      </c>
      <c r="W8" s="232">
        <v>22</v>
      </c>
      <c r="X8" s="189">
        <f t="shared" si="5"/>
        <v>-3.8513187113330648E-2</v>
      </c>
      <c r="Y8" s="190">
        <f t="shared" si="6"/>
        <v>-9.1365920511643495E-4</v>
      </c>
      <c r="Z8" s="190">
        <f t="shared" si="7"/>
        <v>-0.17857142857142858</v>
      </c>
      <c r="AA8" s="187">
        <v>0.81818181818181823</v>
      </c>
      <c r="AB8" s="187">
        <v>0</v>
      </c>
      <c r="AC8" s="200">
        <v>22</v>
      </c>
      <c r="AD8" s="200">
        <v>18</v>
      </c>
      <c r="AE8" s="200">
        <v>3</v>
      </c>
      <c r="AF8" s="200"/>
      <c r="AG8" s="200">
        <v>22</v>
      </c>
      <c r="AH8" s="307">
        <v>3</v>
      </c>
      <c r="AI8" s="189" t="str">
        <f t="shared" si="8"/>
        <v/>
      </c>
      <c r="AJ8" s="190" t="str">
        <f t="shared" si="9"/>
        <v/>
      </c>
      <c r="AK8" s="190" t="str">
        <f t="shared" si="10"/>
        <v/>
      </c>
      <c r="AL8" s="187">
        <v>0.66666666666666663</v>
      </c>
      <c r="AM8" s="187"/>
      <c r="AN8" s="124">
        <v>9</v>
      </c>
      <c r="AO8" s="124">
        <v>6</v>
      </c>
      <c r="AP8" s="124"/>
      <c r="AQ8" s="124"/>
      <c r="AR8" s="124">
        <v>7</v>
      </c>
      <c r="AS8" s="225">
        <v>2</v>
      </c>
      <c r="AU8" s="179" t="s">
        <v>31</v>
      </c>
      <c r="AV8" s="180">
        <f>SUM('Lobby Stats'!N3:N50)/SUM('Lobby Stats'!M3:M50)</f>
        <v>0.60232067510548526</v>
      </c>
    </row>
    <row r="9" spans="1:48" x14ac:dyDescent="0.25">
      <c r="A9" s="298" t="s">
        <v>12</v>
      </c>
      <c r="B9" s="224">
        <v>8.1846435801181838E-2</v>
      </c>
      <c r="C9" s="218">
        <v>0.13519014993545819</v>
      </c>
      <c r="D9" s="190">
        <v>-0.11683168316831681</v>
      </c>
      <c r="E9" s="191">
        <v>0.76190476190476186</v>
      </c>
      <c r="F9" s="191">
        <v>0.1875</v>
      </c>
      <c r="G9" s="201">
        <v>42</v>
      </c>
      <c r="H9" s="201">
        <v>32</v>
      </c>
      <c r="I9" s="201">
        <v>16</v>
      </c>
      <c r="J9" s="201">
        <v>3</v>
      </c>
      <c r="K9" s="201">
        <f t="shared" si="0"/>
        <v>42</v>
      </c>
      <c r="L9" s="299">
        <f t="shared" si="1"/>
        <v>16</v>
      </c>
      <c r="M9" s="189">
        <f t="shared" si="2"/>
        <v>8.1846435801181838E-2</v>
      </c>
      <c r="N9" s="190">
        <f t="shared" si="3"/>
        <v>0.13519014993545819</v>
      </c>
      <c r="O9" s="190">
        <f t="shared" si="4"/>
        <v>-0.11683168316831682</v>
      </c>
      <c r="P9" s="187">
        <v>0.81481481481481477</v>
      </c>
      <c r="Q9" s="187">
        <v>0.2</v>
      </c>
      <c r="R9" s="199">
        <v>27</v>
      </c>
      <c r="S9" s="199">
        <v>22</v>
      </c>
      <c r="T9" s="199">
        <v>10</v>
      </c>
      <c r="U9" s="199">
        <v>2</v>
      </c>
      <c r="V9" s="199">
        <v>26</v>
      </c>
      <c r="W9" s="232">
        <v>11</v>
      </c>
      <c r="X9" s="189" t="str">
        <f t="shared" si="5"/>
        <v/>
      </c>
      <c r="Y9" s="190" t="str">
        <f t="shared" si="6"/>
        <v/>
      </c>
      <c r="Z9" s="190" t="str">
        <f t="shared" si="7"/>
        <v/>
      </c>
      <c r="AA9" s="187">
        <v>0.6</v>
      </c>
      <c r="AB9" s="187">
        <v>0</v>
      </c>
      <c r="AC9" s="200">
        <v>10</v>
      </c>
      <c r="AD9" s="200">
        <v>6</v>
      </c>
      <c r="AE9" s="200">
        <v>4</v>
      </c>
      <c r="AF9" s="200"/>
      <c r="AG9" s="200">
        <v>14</v>
      </c>
      <c r="AH9" s="307"/>
      <c r="AI9" s="189" t="str">
        <f t="shared" si="8"/>
        <v/>
      </c>
      <c r="AJ9" s="190" t="str">
        <f t="shared" si="9"/>
        <v/>
      </c>
      <c r="AK9" s="190" t="str">
        <f t="shared" si="10"/>
        <v/>
      </c>
      <c r="AL9" s="187">
        <v>0.8</v>
      </c>
      <c r="AM9" s="187">
        <v>0.5</v>
      </c>
      <c r="AN9" s="124">
        <v>5</v>
      </c>
      <c r="AO9" s="124">
        <v>4</v>
      </c>
      <c r="AP9" s="124">
        <v>2</v>
      </c>
      <c r="AQ9" s="124">
        <v>1</v>
      </c>
      <c r="AR9" s="124">
        <v>2</v>
      </c>
      <c r="AS9" s="225">
        <v>5</v>
      </c>
      <c r="AU9" s="181" t="s">
        <v>80</v>
      </c>
      <c r="AV9" s="185">
        <f>SUM('Lobby Stats'!R3:R50)/SUM('Lobby Stats'!P3:P50)</f>
        <v>0.67962466487935658</v>
      </c>
    </row>
    <row r="10" spans="1:48" x14ac:dyDescent="0.25">
      <c r="A10" s="298" t="s">
        <v>11</v>
      </c>
      <c r="B10" s="224">
        <v>4.4946722414365765E-2</v>
      </c>
      <c r="C10" s="190">
        <v>2.7085016958665789E-2</v>
      </c>
      <c r="D10" s="190">
        <v>0.11117911056711544</v>
      </c>
      <c r="E10" s="191">
        <v>0.7192982456140351</v>
      </c>
      <c r="F10" s="219">
        <v>0.32258064516129031</v>
      </c>
      <c r="G10" s="201">
        <v>114</v>
      </c>
      <c r="H10" s="201">
        <v>82</v>
      </c>
      <c r="I10" s="201">
        <v>31</v>
      </c>
      <c r="J10" s="201">
        <v>10</v>
      </c>
      <c r="K10" s="201">
        <f t="shared" si="0"/>
        <v>97</v>
      </c>
      <c r="L10" s="299">
        <f t="shared" si="1"/>
        <v>48</v>
      </c>
      <c r="M10" s="189">
        <f t="shared" si="2"/>
        <v>6.4724976919209087E-2</v>
      </c>
      <c r="N10" s="190">
        <f t="shared" si="3"/>
        <v>3.9887530242594615E-2</v>
      </c>
      <c r="O10" s="190">
        <f t="shared" si="4"/>
        <v>0.15685252735799893</v>
      </c>
      <c r="P10" s="187">
        <v>0.71951219512195119</v>
      </c>
      <c r="Q10" s="187">
        <v>0.47368421052631576</v>
      </c>
      <c r="R10" s="199">
        <v>82</v>
      </c>
      <c r="S10" s="199">
        <v>59</v>
      </c>
      <c r="T10" s="199">
        <v>19</v>
      </c>
      <c r="U10" s="199">
        <v>9</v>
      </c>
      <c r="V10" s="199">
        <v>63</v>
      </c>
      <c r="W10" s="232">
        <v>38</v>
      </c>
      <c r="X10" s="189">
        <f t="shared" si="5"/>
        <v>-2.6396267049533344E-2</v>
      </c>
      <c r="Y10" s="190">
        <f t="shared" si="6"/>
        <v>-1.9095477386934623E-2</v>
      </c>
      <c r="Z10" s="190">
        <f t="shared" si="7"/>
        <v>-5.3571428571428575E-2</v>
      </c>
      <c r="AA10" s="187">
        <v>0.8</v>
      </c>
      <c r="AB10" s="187">
        <v>0.125</v>
      </c>
      <c r="AC10" s="200">
        <v>20</v>
      </c>
      <c r="AD10" s="200">
        <v>16</v>
      </c>
      <c r="AE10" s="200">
        <v>8</v>
      </c>
      <c r="AF10" s="200">
        <v>1</v>
      </c>
      <c r="AG10" s="200">
        <v>25</v>
      </c>
      <c r="AH10" s="307">
        <v>3</v>
      </c>
      <c r="AI10" s="189" t="str">
        <f t="shared" si="8"/>
        <v/>
      </c>
      <c r="AJ10" s="190" t="str">
        <f t="shared" si="9"/>
        <v/>
      </c>
      <c r="AK10" s="190" t="str">
        <f t="shared" si="10"/>
        <v/>
      </c>
      <c r="AL10" s="187">
        <v>0.58333333333333337</v>
      </c>
      <c r="AM10" s="187">
        <v>0</v>
      </c>
      <c r="AN10" s="124">
        <v>12</v>
      </c>
      <c r="AO10" s="124">
        <v>7</v>
      </c>
      <c r="AP10" s="124">
        <v>4</v>
      </c>
      <c r="AQ10" s="124"/>
      <c r="AR10" s="124">
        <v>9</v>
      </c>
      <c r="AS10" s="225">
        <v>7</v>
      </c>
      <c r="AU10" s="183" t="s">
        <v>81</v>
      </c>
      <c r="AV10" s="186">
        <f>SUM('Lobby Stats'!V3:V50)/SUM('Lobby Stats'!T3:T50)</f>
        <v>0.31683168316831684</v>
      </c>
    </row>
    <row r="11" spans="1:48" x14ac:dyDescent="0.25">
      <c r="A11" s="298" t="s">
        <v>14</v>
      </c>
      <c r="B11" s="224">
        <v>-1.2521591309198939E-2</v>
      </c>
      <c r="C11" s="190">
        <v>7.8266378096033991E-3</v>
      </c>
      <c r="D11" s="190">
        <v>-8.7970212837610307E-2</v>
      </c>
      <c r="E11" s="191">
        <v>0.70666666666666667</v>
      </c>
      <c r="F11" s="191">
        <v>0.16</v>
      </c>
      <c r="G11" s="201">
        <v>75</v>
      </c>
      <c r="H11" s="201">
        <v>53</v>
      </c>
      <c r="I11" s="220">
        <v>25</v>
      </c>
      <c r="J11" s="201">
        <v>4</v>
      </c>
      <c r="K11" s="201">
        <f t="shared" si="0"/>
        <v>63</v>
      </c>
      <c r="L11" s="299">
        <f t="shared" si="1"/>
        <v>37</v>
      </c>
      <c r="M11" s="189">
        <f t="shared" si="2"/>
        <v>-1.4505215598306156E-2</v>
      </c>
      <c r="N11" s="190">
        <f t="shared" si="3"/>
        <v>9.264224009532307E-3</v>
      </c>
      <c r="O11" s="190">
        <f t="shared" si="4"/>
        <v>-0.10254596888260256</v>
      </c>
      <c r="P11" s="187">
        <v>0.68888888888888888</v>
      </c>
      <c r="Q11" s="187">
        <v>0.21428571428571427</v>
      </c>
      <c r="R11" s="199">
        <v>45</v>
      </c>
      <c r="S11" s="199">
        <v>31</v>
      </c>
      <c r="T11" s="199">
        <v>14</v>
      </c>
      <c r="U11" s="199">
        <v>3</v>
      </c>
      <c r="V11" s="199">
        <v>32</v>
      </c>
      <c r="W11" s="232">
        <v>27</v>
      </c>
      <c r="X11" s="189">
        <f t="shared" si="5"/>
        <v>-7.8402379869059059E-3</v>
      </c>
      <c r="Y11" s="190">
        <f t="shared" si="6"/>
        <v>4.4339343777711759E-3</v>
      </c>
      <c r="Z11" s="190">
        <f t="shared" si="7"/>
        <v>-5.3571428571428575E-2</v>
      </c>
      <c r="AA11" s="187">
        <v>0.82352941176470584</v>
      </c>
      <c r="AB11" s="187">
        <v>0.125</v>
      </c>
      <c r="AC11" s="200">
        <v>17</v>
      </c>
      <c r="AD11" s="200">
        <v>14</v>
      </c>
      <c r="AE11" s="200">
        <v>8</v>
      </c>
      <c r="AF11" s="200">
        <v>1</v>
      </c>
      <c r="AG11" s="200">
        <v>22</v>
      </c>
      <c r="AH11" s="307">
        <v>3</v>
      </c>
      <c r="AI11" s="189" t="str">
        <f t="shared" si="8"/>
        <v/>
      </c>
      <c r="AJ11" s="190" t="str">
        <f t="shared" si="9"/>
        <v/>
      </c>
      <c r="AK11" s="190" t="str">
        <f t="shared" si="10"/>
        <v/>
      </c>
      <c r="AL11" s="187">
        <v>0.61538461538461542</v>
      </c>
      <c r="AM11" s="187">
        <v>0</v>
      </c>
      <c r="AN11" s="124">
        <v>13</v>
      </c>
      <c r="AO11" s="124">
        <v>8</v>
      </c>
      <c r="AP11" s="124">
        <v>3</v>
      </c>
      <c r="AQ11" s="124"/>
      <c r="AR11" s="124">
        <v>9</v>
      </c>
      <c r="AS11" s="225">
        <v>7</v>
      </c>
    </row>
    <row r="12" spans="1:48" x14ac:dyDescent="0.25">
      <c r="A12" s="298" t="s">
        <v>40</v>
      </c>
      <c r="B12" s="224">
        <v>-9.1014993536453186E-3</v>
      </c>
      <c r="C12" s="190">
        <v>-3.1540766440624202E-3</v>
      </c>
      <c r="D12" s="190">
        <v>-3.1117397454031137E-2</v>
      </c>
      <c r="E12" s="191">
        <v>0.71698113207547165</v>
      </c>
      <c r="F12" s="191">
        <v>0.16666666666666666</v>
      </c>
      <c r="G12" s="201">
        <v>53</v>
      </c>
      <c r="H12" s="201">
        <v>38</v>
      </c>
      <c r="I12" s="201">
        <v>18</v>
      </c>
      <c r="J12" s="220">
        <v>3</v>
      </c>
      <c r="K12" s="201">
        <f t="shared" si="0"/>
        <v>46</v>
      </c>
      <c r="L12" s="299">
        <f t="shared" si="1"/>
        <v>25</v>
      </c>
      <c r="M12" s="189">
        <f t="shared" si="2"/>
        <v>-9.1014993536453186E-3</v>
      </c>
      <c r="N12" s="190">
        <f t="shared" si="3"/>
        <v>-3.1540766440624202E-3</v>
      </c>
      <c r="O12" s="190">
        <f t="shared" si="4"/>
        <v>-3.1117397454031137E-2</v>
      </c>
      <c r="P12" s="187">
        <v>0.67647058823529416</v>
      </c>
      <c r="Q12" s="187">
        <v>0.2857142857142857</v>
      </c>
      <c r="R12" s="199">
        <v>34</v>
      </c>
      <c r="S12" s="199">
        <v>23</v>
      </c>
      <c r="T12" s="199">
        <v>7</v>
      </c>
      <c r="U12" s="199">
        <v>2</v>
      </c>
      <c r="V12" s="199">
        <v>23</v>
      </c>
      <c r="W12" s="232">
        <v>18</v>
      </c>
      <c r="X12" s="189" t="str">
        <f t="shared" si="5"/>
        <v/>
      </c>
      <c r="Y12" s="190" t="str">
        <f t="shared" si="6"/>
        <v/>
      </c>
      <c r="Z12" s="190" t="str">
        <f t="shared" si="7"/>
        <v/>
      </c>
      <c r="AA12" s="187">
        <v>0.84615384615384615</v>
      </c>
      <c r="AB12" s="187">
        <v>0</v>
      </c>
      <c r="AC12" s="200">
        <v>13</v>
      </c>
      <c r="AD12" s="200">
        <v>11</v>
      </c>
      <c r="AE12" s="200">
        <v>5</v>
      </c>
      <c r="AF12" s="200"/>
      <c r="AG12" s="200">
        <v>18</v>
      </c>
      <c r="AH12" s="307"/>
      <c r="AI12" s="189" t="str">
        <f t="shared" si="8"/>
        <v/>
      </c>
      <c r="AJ12" s="190" t="str">
        <f t="shared" si="9"/>
        <v/>
      </c>
      <c r="AK12" s="190" t="str">
        <f t="shared" si="10"/>
        <v/>
      </c>
      <c r="AL12" s="187">
        <v>0.66666666666666663</v>
      </c>
      <c r="AM12" s="187">
        <v>0.16666666666666666</v>
      </c>
      <c r="AN12" s="124">
        <v>6</v>
      </c>
      <c r="AO12" s="124">
        <v>4</v>
      </c>
      <c r="AP12" s="124">
        <v>6</v>
      </c>
      <c r="AQ12" s="124">
        <v>1</v>
      </c>
      <c r="AR12" s="124">
        <v>5</v>
      </c>
      <c r="AS12" s="225">
        <v>7</v>
      </c>
      <c r="AU12" s="398" t="s">
        <v>19</v>
      </c>
      <c r="AV12" s="398"/>
    </row>
    <row r="13" spans="1:48" x14ac:dyDescent="0.25">
      <c r="A13" s="298" t="s">
        <v>54</v>
      </c>
      <c r="B13" s="224">
        <v>-8.7742780312186922E-2</v>
      </c>
      <c r="C13" s="190">
        <v>-9.3417768327632489E-2</v>
      </c>
      <c r="D13" s="190">
        <v>-6.6831683168316836E-2</v>
      </c>
      <c r="E13" s="187">
        <v>0.61764705882352944</v>
      </c>
      <c r="F13" s="187">
        <v>0.33333333333333331</v>
      </c>
      <c r="G13" s="26">
        <v>34</v>
      </c>
      <c r="H13" s="26">
        <v>21</v>
      </c>
      <c r="I13" s="26">
        <v>6</v>
      </c>
      <c r="J13" s="26">
        <v>2</v>
      </c>
      <c r="K13" s="201">
        <f t="shared" si="0"/>
        <v>22</v>
      </c>
      <c r="L13" s="299">
        <f t="shared" si="1"/>
        <v>18</v>
      </c>
      <c r="M13" s="189">
        <f t="shared" si="2"/>
        <v>-8.7742780312186922E-2</v>
      </c>
      <c r="N13" s="190">
        <f t="shared" si="3"/>
        <v>-9.3417768327632489E-2</v>
      </c>
      <c r="O13" s="190">
        <f t="shared" si="4"/>
        <v>-6.6831683168316836E-2</v>
      </c>
      <c r="P13" s="187">
        <v>0.58620689655172409</v>
      </c>
      <c r="Q13" s="187">
        <v>0.25</v>
      </c>
      <c r="R13" s="26">
        <v>29</v>
      </c>
      <c r="S13" s="26">
        <v>17</v>
      </c>
      <c r="T13" s="26">
        <v>4</v>
      </c>
      <c r="U13" s="26">
        <v>1</v>
      </c>
      <c r="V13" s="127">
        <v>18</v>
      </c>
      <c r="W13" s="316">
        <v>15</v>
      </c>
      <c r="X13" s="189" t="str">
        <f t="shared" si="5"/>
        <v/>
      </c>
      <c r="Y13" s="190" t="str">
        <f t="shared" si="6"/>
        <v/>
      </c>
      <c r="Z13" s="190" t="str">
        <f t="shared" si="7"/>
        <v/>
      </c>
      <c r="AA13" s="187">
        <v>0.8</v>
      </c>
      <c r="AB13" s="187">
        <v>0.5</v>
      </c>
      <c r="AC13" s="26">
        <v>5</v>
      </c>
      <c r="AD13" s="26">
        <v>4</v>
      </c>
      <c r="AE13" s="26">
        <v>2</v>
      </c>
      <c r="AF13" s="26">
        <v>1</v>
      </c>
      <c r="AG13" s="200">
        <v>4</v>
      </c>
      <c r="AH13" s="307">
        <v>3</v>
      </c>
      <c r="AI13" s="189" t="str">
        <f t="shared" si="8"/>
        <v/>
      </c>
      <c r="AJ13" s="190" t="str">
        <f t="shared" si="9"/>
        <v/>
      </c>
      <c r="AK13" s="190" t="str">
        <f t="shared" si="10"/>
        <v/>
      </c>
      <c r="AL13" s="187"/>
      <c r="AM13" s="187"/>
      <c r="AN13" s="26"/>
      <c r="AO13" s="26"/>
      <c r="AP13" s="26"/>
      <c r="AQ13" s="26"/>
      <c r="AR13" s="124"/>
      <c r="AS13" s="225"/>
      <c r="AU13" s="179" t="s">
        <v>31</v>
      </c>
      <c r="AV13" s="180">
        <f>SUM('Lobby Stats'!Y3:Y50)/SUM('Lobby Stats'!X3:X50)</f>
        <v>0.67843137254901964</v>
      </c>
    </row>
    <row r="14" spans="1:48" x14ac:dyDescent="0.25">
      <c r="A14" s="298" t="s">
        <v>53</v>
      </c>
      <c r="B14" s="224">
        <v>-0.12071143262673527</v>
      </c>
      <c r="C14" s="190">
        <v>-8.3470818725510432E-2</v>
      </c>
      <c r="D14" s="190">
        <v>-0.25800815375655212</v>
      </c>
      <c r="E14" s="191">
        <v>0.62068965517241381</v>
      </c>
      <c r="F14" s="191">
        <v>5.5555555555555552E-2</v>
      </c>
      <c r="G14" s="220">
        <v>58</v>
      </c>
      <c r="H14" s="201">
        <v>36</v>
      </c>
      <c r="I14" s="201">
        <v>18</v>
      </c>
      <c r="J14" s="201">
        <v>1</v>
      </c>
      <c r="K14" s="201">
        <f t="shared" si="0"/>
        <v>41</v>
      </c>
      <c r="L14" s="299">
        <f t="shared" si="1"/>
        <v>35</v>
      </c>
      <c r="M14" s="189">
        <f t="shared" si="2"/>
        <v>-0.12071143262673528</v>
      </c>
      <c r="N14" s="190">
        <f t="shared" si="3"/>
        <v>-8.3470818725510432E-2</v>
      </c>
      <c r="O14" s="190">
        <f t="shared" si="4"/>
        <v>-0.25800815375655212</v>
      </c>
      <c r="P14" s="187">
        <v>0.59615384615384615</v>
      </c>
      <c r="Q14" s="187">
        <v>5.8823529411764705E-2</v>
      </c>
      <c r="R14" s="199">
        <v>52</v>
      </c>
      <c r="S14" s="199">
        <v>31</v>
      </c>
      <c r="T14" s="199">
        <v>17</v>
      </c>
      <c r="U14" s="199">
        <v>1</v>
      </c>
      <c r="V14" s="199">
        <v>38</v>
      </c>
      <c r="W14" s="232">
        <v>31</v>
      </c>
      <c r="X14" s="189" t="str">
        <f t="shared" si="5"/>
        <v/>
      </c>
      <c r="Y14" s="190" t="str">
        <f t="shared" si="6"/>
        <v/>
      </c>
      <c r="Z14" s="190" t="str">
        <f t="shared" si="7"/>
        <v/>
      </c>
      <c r="AA14" s="187">
        <v>0.5</v>
      </c>
      <c r="AB14" s="187">
        <v>0</v>
      </c>
      <c r="AC14" s="200">
        <v>2</v>
      </c>
      <c r="AD14" s="200">
        <v>1</v>
      </c>
      <c r="AE14" s="200">
        <v>1</v>
      </c>
      <c r="AF14" s="200"/>
      <c r="AG14" s="200">
        <v>3</v>
      </c>
      <c r="AH14" s="307"/>
      <c r="AI14" s="189" t="str">
        <f t="shared" si="8"/>
        <v/>
      </c>
      <c r="AJ14" s="190" t="str">
        <f t="shared" si="9"/>
        <v/>
      </c>
      <c r="AK14" s="190" t="str">
        <f t="shared" si="10"/>
        <v/>
      </c>
      <c r="AL14" s="187">
        <v>1</v>
      </c>
      <c r="AM14" s="187"/>
      <c r="AN14" s="124">
        <v>4</v>
      </c>
      <c r="AO14" s="124">
        <v>4</v>
      </c>
      <c r="AP14" s="124"/>
      <c r="AQ14" s="124"/>
      <c r="AR14" s="124"/>
      <c r="AS14" s="225">
        <v>4</v>
      </c>
      <c r="AU14" s="181" t="s">
        <v>80</v>
      </c>
      <c r="AV14" s="182">
        <f>SUM('Lobby Stats'!AC3:AC50)/SUM('Lobby Stats'!AA3:AA50)</f>
        <v>0.81909547738693467</v>
      </c>
    </row>
    <row r="15" spans="1:48" x14ac:dyDescent="0.25">
      <c r="A15" s="298" t="s">
        <v>55</v>
      </c>
      <c r="B15" s="224">
        <v>-5.022882878100144E-2</v>
      </c>
      <c r="C15" s="190">
        <v>-7.9624664879356599E-2</v>
      </c>
      <c r="D15" s="190">
        <v>5.8168316831683164E-2</v>
      </c>
      <c r="E15" s="191">
        <v>0.56521739130434778</v>
      </c>
      <c r="F15" s="191">
        <v>0.36363636363636365</v>
      </c>
      <c r="G15" s="201">
        <v>23</v>
      </c>
      <c r="H15" s="220">
        <v>13</v>
      </c>
      <c r="I15" s="201">
        <v>11</v>
      </c>
      <c r="J15" s="201">
        <v>4</v>
      </c>
      <c r="K15" s="201">
        <f t="shared" si="0"/>
        <v>20</v>
      </c>
      <c r="L15" s="299">
        <f t="shared" si="1"/>
        <v>14</v>
      </c>
      <c r="M15" s="189">
        <f t="shared" si="2"/>
        <v>-5.022882878100144E-2</v>
      </c>
      <c r="N15" s="190">
        <f t="shared" si="3"/>
        <v>-7.9624664879356599E-2</v>
      </c>
      <c r="O15" s="190">
        <f t="shared" si="4"/>
        <v>5.8168316831683164E-2</v>
      </c>
      <c r="P15" s="187">
        <v>0.6</v>
      </c>
      <c r="Q15" s="187">
        <v>0.375</v>
      </c>
      <c r="R15" s="199">
        <v>20</v>
      </c>
      <c r="S15" s="199">
        <v>12</v>
      </c>
      <c r="T15" s="199">
        <v>8</v>
      </c>
      <c r="U15" s="199">
        <v>3</v>
      </c>
      <c r="V15" s="199">
        <v>17</v>
      </c>
      <c r="W15" s="232">
        <v>11</v>
      </c>
      <c r="X15" s="189" t="str">
        <f t="shared" si="5"/>
        <v/>
      </c>
      <c r="Y15" s="190" t="str">
        <f t="shared" si="6"/>
        <v/>
      </c>
      <c r="Z15" s="190" t="str">
        <f t="shared" si="7"/>
        <v/>
      </c>
      <c r="AA15" s="187">
        <v>1</v>
      </c>
      <c r="AB15" s="187">
        <v>0.5</v>
      </c>
      <c r="AC15" s="200">
        <v>1</v>
      </c>
      <c r="AD15" s="200">
        <v>1</v>
      </c>
      <c r="AE15" s="200">
        <v>2</v>
      </c>
      <c r="AF15" s="200">
        <v>1</v>
      </c>
      <c r="AG15" s="200"/>
      <c r="AH15" s="307">
        <v>3</v>
      </c>
      <c r="AI15" s="189" t="str">
        <f t="shared" si="8"/>
        <v/>
      </c>
      <c r="AJ15" s="190" t="str">
        <f t="shared" si="9"/>
        <v/>
      </c>
      <c r="AK15" s="190" t="str">
        <f t="shared" si="10"/>
        <v/>
      </c>
      <c r="AL15" s="187">
        <v>0</v>
      </c>
      <c r="AM15" s="187">
        <v>0</v>
      </c>
      <c r="AN15" s="124">
        <v>2</v>
      </c>
      <c r="AO15" s="124"/>
      <c r="AP15" s="124">
        <v>1</v>
      </c>
      <c r="AQ15" s="124"/>
      <c r="AR15" s="124">
        <v>3</v>
      </c>
      <c r="AS15" s="225"/>
      <c r="AU15" s="183" t="s">
        <v>81</v>
      </c>
      <c r="AV15" s="184">
        <f>SUM('Lobby Stats'!AG3:AG50)/SUM('Lobby Stats'!AE3:AE50)</f>
        <v>0.17857142857142858</v>
      </c>
    </row>
    <row r="16" spans="1:48" x14ac:dyDescent="0.25">
      <c r="A16" s="298" t="s">
        <v>69</v>
      </c>
      <c r="B16" s="224">
        <v>-0.11520185880630615</v>
      </c>
      <c r="C16" s="190">
        <v>-6.0577045831737501E-2</v>
      </c>
      <c r="D16" s="190">
        <v>-0.31683168316831684</v>
      </c>
      <c r="E16" s="191">
        <v>0.625</v>
      </c>
      <c r="F16" s="191">
        <v>0</v>
      </c>
      <c r="G16" s="201">
        <v>24</v>
      </c>
      <c r="H16" s="201">
        <v>15</v>
      </c>
      <c r="I16" s="201">
        <v>4</v>
      </c>
      <c r="J16" s="201">
        <v>0</v>
      </c>
      <c r="K16" s="220">
        <f t="shared" si="0"/>
        <v>11</v>
      </c>
      <c r="L16" s="299">
        <f t="shared" si="1"/>
        <v>17</v>
      </c>
      <c r="M16" s="189">
        <f t="shared" si="2"/>
        <v>-0.11520185880630615</v>
      </c>
      <c r="N16" s="190">
        <f t="shared" si="3"/>
        <v>-6.0577045831737508E-2</v>
      </c>
      <c r="O16" s="190">
        <f t="shared" si="4"/>
        <v>-0.31683168316831684</v>
      </c>
      <c r="P16" s="187">
        <v>0.61904761904761907</v>
      </c>
      <c r="Q16" s="187">
        <v>0</v>
      </c>
      <c r="R16" s="199">
        <v>21</v>
      </c>
      <c r="S16" s="199">
        <v>13</v>
      </c>
      <c r="T16" s="199">
        <v>4</v>
      </c>
      <c r="U16" s="199"/>
      <c r="V16" s="199">
        <v>10</v>
      </c>
      <c r="W16" s="232">
        <v>15</v>
      </c>
      <c r="X16" s="189" t="str">
        <f t="shared" si="5"/>
        <v/>
      </c>
      <c r="Y16" s="190" t="str">
        <f t="shared" si="6"/>
        <v/>
      </c>
      <c r="Z16" s="190" t="str">
        <f t="shared" si="7"/>
        <v/>
      </c>
      <c r="AA16" s="187"/>
      <c r="AB16" s="187"/>
      <c r="AC16" s="200"/>
      <c r="AD16" s="200"/>
      <c r="AE16" s="200"/>
      <c r="AF16" s="200"/>
      <c r="AG16" s="200"/>
      <c r="AH16" s="307"/>
      <c r="AI16" s="189" t="str">
        <f t="shared" si="8"/>
        <v/>
      </c>
      <c r="AJ16" s="190" t="str">
        <f t="shared" si="9"/>
        <v/>
      </c>
      <c r="AK16" s="190" t="str">
        <f t="shared" si="10"/>
        <v/>
      </c>
      <c r="AL16" s="187">
        <v>0.66666666666666663</v>
      </c>
      <c r="AM16" s="187"/>
      <c r="AN16" s="124">
        <v>3</v>
      </c>
      <c r="AO16" s="124">
        <v>2</v>
      </c>
      <c r="AP16" s="124"/>
      <c r="AQ16" s="124"/>
      <c r="AR16" s="124">
        <v>1</v>
      </c>
      <c r="AS16" s="225">
        <v>2</v>
      </c>
    </row>
    <row r="17" spans="1:48" x14ac:dyDescent="0.25">
      <c r="A17" s="298" t="s">
        <v>68</v>
      </c>
      <c r="B17" s="224"/>
      <c r="C17" s="190"/>
      <c r="D17" s="190"/>
      <c r="E17" s="219">
        <v>0.5714285714285714</v>
      </c>
      <c r="F17" s="191">
        <v>0</v>
      </c>
      <c r="G17" s="201">
        <v>7</v>
      </c>
      <c r="H17" s="201">
        <v>4</v>
      </c>
      <c r="I17" s="201">
        <v>1</v>
      </c>
      <c r="J17" s="201">
        <v>0</v>
      </c>
      <c r="K17" s="201">
        <f t="shared" si="0"/>
        <v>8</v>
      </c>
      <c r="L17" s="299">
        <f t="shared" si="1"/>
        <v>0</v>
      </c>
      <c r="M17" s="189" t="str">
        <f t="shared" si="2"/>
        <v/>
      </c>
      <c r="N17" s="190" t="str">
        <f t="shared" si="3"/>
        <v/>
      </c>
      <c r="O17" s="190" t="str">
        <f t="shared" si="4"/>
        <v/>
      </c>
      <c r="P17" s="187">
        <v>0.5714285714285714</v>
      </c>
      <c r="Q17" s="187">
        <v>0</v>
      </c>
      <c r="R17" s="199">
        <v>7</v>
      </c>
      <c r="S17" s="199">
        <v>4</v>
      </c>
      <c r="T17" s="199">
        <v>1</v>
      </c>
      <c r="U17" s="199"/>
      <c r="V17" s="199">
        <v>8</v>
      </c>
      <c r="W17" s="232"/>
      <c r="X17" s="189" t="str">
        <f t="shared" si="5"/>
        <v/>
      </c>
      <c r="Y17" s="190" t="str">
        <f t="shared" si="6"/>
        <v/>
      </c>
      <c r="Z17" s="190" t="str">
        <f t="shared" si="7"/>
        <v/>
      </c>
      <c r="AA17" s="187"/>
      <c r="AB17" s="187"/>
      <c r="AC17" s="200"/>
      <c r="AD17" s="200"/>
      <c r="AE17" s="200"/>
      <c r="AF17" s="200"/>
      <c r="AG17" s="200"/>
      <c r="AH17" s="307"/>
      <c r="AI17" s="189" t="str">
        <f t="shared" si="8"/>
        <v/>
      </c>
      <c r="AJ17" s="190" t="str">
        <f t="shared" si="9"/>
        <v/>
      </c>
      <c r="AK17" s="190" t="str">
        <f t="shared" si="10"/>
        <v/>
      </c>
      <c r="AL17" s="187"/>
      <c r="AM17" s="187"/>
      <c r="AN17" s="124"/>
      <c r="AO17" s="124"/>
      <c r="AP17" s="124"/>
      <c r="AQ17" s="124"/>
      <c r="AR17" s="124"/>
      <c r="AS17" s="225"/>
      <c r="AU17" s="383" t="s">
        <v>24</v>
      </c>
      <c r="AV17" s="383"/>
    </row>
    <row r="18" spans="1:48" x14ac:dyDescent="0.25">
      <c r="A18" s="298" t="s">
        <v>70</v>
      </c>
      <c r="B18" s="224"/>
      <c r="C18" s="190"/>
      <c r="D18" s="190"/>
      <c r="E18" s="191">
        <v>0.77777777777777779</v>
      </c>
      <c r="F18" s="191">
        <v>0.25</v>
      </c>
      <c r="G18" s="201">
        <v>18</v>
      </c>
      <c r="H18" s="201">
        <v>14</v>
      </c>
      <c r="I18" s="201">
        <v>4</v>
      </c>
      <c r="J18" s="201">
        <v>1</v>
      </c>
      <c r="K18" s="201">
        <f t="shared" si="0"/>
        <v>19</v>
      </c>
      <c r="L18" s="299">
        <f t="shared" si="1"/>
        <v>3</v>
      </c>
      <c r="M18" s="189" t="str">
        <f t="shared" si="2"/>
        <v/>
      </c>
      <c r="N18" s="190" t="str">
        <f t="shared" si="3"/>
        <v/>
      </c>
      <c r="O18" s="190" t="str">
        <f t="shared" si="4"/>
        <v/>
      </c>
      <c r="P18" s="187">
        <v>0.33333333333333331</v>
      </c>
      <c r="Q18" s="187">
        <v>0.33333333333333331</v>
      </c>
      <c r="R18" s="199">
        <v>3</v>
      </c>
      <c r="S18" s="199">
        <v>1</v>
      </c>
      <c r="T18" s="199">
        <v>3</v>
      </c>
      <c r="U18" s="199">
        <v>1</v>
      </c>
      <c r="V18" s="199">
        <v>4</v>
      </c>
      <c r="W18" s="232">
        <v>2</v>
      </c>
      <c r="X18" s="189" t="str">
        <f t="shared" si="5"/>
        <v/>
      </c>
      <c r="Y18" s="190" t="str">
        <f t="shared" si="6"/>
        <v/>
      </c>
      <c r="Z18" s="190" t="str">
        <f t="shared" si="7"/>
        <v/>
      </c>
      <c r="AA18" s="187">
        <v>1</v>
      </c>
      <c r="AB18" s="187">
        <v>0</v>
      </c>
      <c r="AC18" s="200">
        <v>9</v>
      </c>
      <c r="AD18" s="200">
        <v>9</v>
      </c>
      <c r="AE18" s="200">
        <v>1</v>
      </c>
      <c r="AF18" s="200"/>
      <c r="AG18" s="200">
        <v>10</v>
      </c>
      <c r="AH18" s="307"/>
      <c r="AI18" s="189" t="str">
        <f t="shared" si="8"/>
        <v/>
      </c>
      <c r="AJ18" s="190" t="str">
        <f t="shared" si="9"/>
        <v/>
      </c>
      <c r="AK18" s="190" t="str">
        <f t="shared" si="10"/>
        <v/>
      </c>
      <c r="AL18" s="187">
        <v>0.66666666666666663</v>
      </c>
      <c r="AM18" s="187"/>
      <c r="AN18" s="124">
        <v>6</v>
      </c>
      <c r="AO18" s="124">
        <v>4</v>
      </c>
      <c r="AP18" s="124"/>
      <c r="AQ18" s="124"/>
      <c r="AR18" s="124">
        <v>5</v>
      </c>
      <c r="AS18" s="225">
        <v>1</v>
      </c>
      <c r="AU18" s="179" t="s">
        <v>31</v>
      </c>
      <c r="AV18" s="180">
        <f>SUM('Lobby Stats'!AJ3:AJ50)/SUM('Lobby Stats'!AI3:AI50)</f>
        <v>0.60927152317880795</v>
      </c>
    </row>
    <row r="19" spans="1:48" x14ac:dyDescent="0.25">
      <c r="A19" s="298" t="s">
        <v>71</v>
      </c>
      <c r="B19" s="224">
        <v>7.7994312638966737E-2</v>
      </c>
      <c r="C19" s="190">
        <v>4.5858614364329142E-3</v>
      </c>
      <c r="D19" s="190">
        <v>0.34983498349834979</v>
      </c>
      <c r="E19" s="191">
        <v>0.75757575757575757</v>
      </c>
      <c r="F19" s="191">
        <v>0.5</v>
      </c>
      <c r="G19" s="201">
        <v>33</v>
      </c>
      <c r="H19" s="201">
        <v>25</v>
      </c>
      <c r="I19" s="201">
        <v>8</v>
      </c>
      <c r="J19" s="201">
        <v>4</v>
      </c>
      <c r="K19" s="201">
        <f t="shared" si="0"/>
        <v>33</v>
      </c>
      <c r="L19" s="299">
        <f t="shared" si="1"/>
        <v>8</v>
      </c>
      <c r="M19" s="189">
        <f t="shared" si="2"/>
        <v>7.7994312638966737E-2</v>
      </c>
      <c r="N19" s="190">
        <f t="shared" si="3"/>
        <v>4.5858614364329142E-3</v>
      </c>
      <c r="O19" s="190">
        <f t="shared" si="4"/>
        <v>0.34983498349834979</v>
      </c>
      <c r="P19" s="187">
        <v>0.68421052631578949</v>
      </c>
      <c r="Q19" s="187">
        <v>0.66666666666666663</v>
      </c>
      <c r="R19" s="199">
        <v>19</v>
      </c>
      <c r="S19" s="222">
        <v>13</v>
      </c>
      <c r="T19" s="199">
        <v>6</v>
      </c>
      <c r="U19" s="199">
        <v>4</v>
      </c>
      <c r="V19" s="199">
        <v>18</v>
      </c>
      <c r="W19" s="232">
        <v>7</v>
      </c>
      <c r="X19" s="189" t="str">
        <f t="shared" si="5"/>
        <v/>
      </c>
      <c r="Y19" s="190" t="str">
        <f t="shared" si="6"/>
        <v/>
      </c>
      <c r="Z19" s="190" t="str">
        <f t="shared" si="7"/>
        <v/>
      </c>
      <c r="AA19" s="187">
        <v>1</v>
      </c>
      <c r="AB19" s="187">
        <v>0</v>
      </c>
      <c r="AC19" s="200">
        <v>8</v>
      </c>
      <c r="AD19" s="200">
        <v>8</v>
      </c>
      <c r="AE19" s="200">
        <v>2</v>
      </c>
      <c r="AF19" s="200"/>
      <c r="AG19" s="200">
        <v>10</v>
      </c>
      <c r="AH19" s="307"/>
      <c r="AI19" s="189" t="str">
        <f t="shared" si="8"/>
        <v/>
      </c>
      <c r="AJ19" s="190" t="str">
        <f t="shared" si="9"/>
        <v/>
      </c>
      <c r="AK19" s="190" t="str">
        <f t="shared" si="10"/>
        <v/>
      </c>
      <c r="AL19" s="187">
        <v>0.66666666666666663</v>
      </c>
      <c r="AM19" s="187"/>
      <c r="AN19" s="124">
        <v>6</v>
      </c>
      <c r="AO19" s="124">
        <v>4</v>
      </c>
      <c r="AP19" s="124"/>
      <c r="AQ19" s="124"/>
      <c r="AR19" s="124">
        <v>5</v>
      </c>
      <c r="AS19" s="225">
        <v>1</v>
      </c>
      <c r="AU19" s="181" t="s">
        <v>80</v>
      </c>
      <c r="AV19" s="182">
        <f>SUM('Lobby Stats'!AN3:AN50)/SUM('Lobby Stats'!AL3:AL50)</f>
        <v>0.68907563025210083</v>
      </c>
    </row>
    <row r="20" spans="1:48" x14ac:dyDescent="0.25">
      <c r="A20" s="298" t="s">
        <v>79</v>
      </c>
      <c r="B20" s="224">
        <v>-9.1525896778660687E-2</v>
      </c>
      <c r="C20" s="190">
        <v>-9.8229316042147241E-2</v>
      </c>
      <c r="D20" s="190">
        <v>-6.6831683168316836E-2</v>
      </c>
      <c r="E20" s="191">
        <v>0.58139534883720934</v>
      </c>
      <c r="F20" s="191">
        <v>0.25</v>
      </c>
      <c r="G20" s="201">
        <v>43</v>
      </c>
      <c r="H20" s="201">
        <v>25</v>
      </c>
      <c r="I20" s="201">
        <v>4</v>
      </c>
      <c r="J20" s="201">
        <v>1</v>
      </c>
      <c r="K20" s="201">
        <f t="shared" si="0"/>
        <v>25</v>
      </c>
      <c r="L20" s="299">
        <f t="shared" si="1"/>
        <v>22</v>
      </c>
      <c r="M20" s="189">
        <f t="shared" si="2"/>
        <v>-9.1525896778660687E-2</v>
      </c>
      <c r="N20" s="190">
        <f t="shared" si="3"/>
        <v>-9.8229316042147241E-2</v>
      </c>
      <c r="O20" s="190">
        <f t="shared" si="4"/>
        <v>-6.6831683168316836E-2</v>
      </c>
      <c r="P20" s="187">
        <v>0.58139534883720934</v>
      </c>
      <c r="Q20" s="187">
        <v>0.25</v>
      </c>
      <c r="R20" s="199">
        <v>43</v>
      </c>
      <c r="S20" s="199">
        <v>25</v>
      </c>
      <c r="T20" s="199">
        <v>4</v>
      </c>
      <c r="U20" s="199">
        <v>1</v>
      </c>
      <c r="V20" s="199">
        <v>25</v>
      </c>
      <c r="W20" s="232">
        <v>22</v>
      </c>
      <c r="X20" s="189" t="str">
        <f t="shared" si="5"/>
        <v/>
      </c>
      <c r="Y20" s="190" t="str">
        <f t="shared" si="6"/>
        <v/>
      </c>
      <c r="Z20" s="190" t="str">
        <f t="shared" si="7"/>
        <v/>
      </c>
      <c r="AA20" s="187"/>
      <c r="AB20" s="187"/>
      <c r="AC20" s="200"/>
      <c r="AD20" s="200"/>
      <c r="AE20" s="200"/>
      <c r="AF20" s="200"/>
      <c r="AG20" s="200"/>
      <c r="AH20" s="307"/>
      <c r="AI20" s="189" t="str">
        <f t="shared" si="8"/>
        <v/>
      </c>
      <c r="AJ20" s="190" t="str">
        <f t="shared" si="9"/>
        <v/>
      </c>
      <c r="AK20" s="190" t="str">
        <f t="shared" si="10"/>
        <v/>
      </c>
      <c r="AL20" s="187"/>
      <c r="AM20" s="187"/>
      <c r="AN20" s="124"/>
      <c r="AO20" s="124"/>
      <c r="AP20" s="124"/>
      <c r="AQ20" s="124"/>
      <c r="AR20" s="124"/>
      <c r="AS20" s="225"/>
      <c r="AU20" s="183" t="s">
        <v>81</v>
      </c>
      <c r="AV20" s="184">
        <f>SUM('Lobby Stats'!AR3:AR50)/SUM('Lobby Stats'!AP3:AP50)</f>
        <v>0.3125</v>
      </c>
    </row>
    <row r="21" spans="1:48" x14ac:dyDescent="0.25">
      <c r="A21" s="300" t="s">
        <v>90</v>
      </c>
      <c r="B21" s="301">
        <v>1.1275010379904804E-2</v>
      </c>
      <c r="C21" s="302">
        <v>-5.4624664879356577E-2</v>
      </c>
      <c r="D21" s="302">
        <v>0.25459688826025456</v>
      </c>
      <c r="E21" s="314">
        <v>0.625</v>
      </c>
      <c r="F21" s="314">
        <v>0.5714285714285714</v>
      </c>
      <c r="G21" s="303">
        <v>32</v>
      </c>
      <c r="H21" s="303">
        <v>20</v>
      </c>
      <c r="I21" s="303">
        <v>7</v>
      </c>
      <c r="J21" s="303">
        <v>4</v>
      </c>
      <c r="K21" s="303">
        <f t="shared" si="0"/>
        <v>20</v>
      </c>
      <c r="L21" s="304">
        <f t="shared" si="1"/>
        <v>19</v>
      </c>
      <c r="M21" s="305">
        <f t="shared" si="2"/>
        <v>1.1275010379904804E-2</v>
      </c>
      <c r="N21" s="302">
        <f t="shared" si="3"/>
        <v>-5.4624664879356577E-2</v>
      </c>
      <c r="O21" s="302">
        <f t="shared" si="4"/>
        <v>0.25459688826025456</v>
      </c>
      <c r="P21" s="188">
        <v>0.625</v>
      </c>
      <c r="Q21" s="188">
        <v>0.5714285714285714</v>
      </c>
      <c r="R21" s="315">
        <v>32</v>
      </c>
      <c r="S21" s="315">
        <v>20</v>
      </c>
      <c r="T21" s="315">
        <v>7</v>
      </c>
      <c r="U21" s="315">
        <v>4</v>
      </c>
      <c r="V21" s="315">
        <v>20</v>
      </c>
      <c r="W21" s="317">
        <v>19</v>
      </c>
      <c r="X21" s="305" t="str">
        <f t="shared" si="5"/>
        <v/>
      </c>
      <c r="Y21" s="302" t="str">
        <f t="shared" si="6"/>
        <v/>
      </c>
      <c r="Z21" s="302" t="str">
        <f t="shared" si="7"/>
        <v/>
      </c>
      <c r="AA21" s="188"/>
      <c r="AB21" s="188"/>
      <c r="AC21" s="308"/>
      <c r="AD21" s="308"/>
      <c r="AE21" s="308"/>
      <c r="AF21" s="308"/>
      <c r="AG21" s="308"/>
      <c r="AH21" s="309"/>
      <c r="AI21" s="189" t="str">
        <f t="shared" si="8"/>
        <v/>
      </c>
      <c r="AJ21" s="190" t="str">
        <f t="shared" si="9"/>
        <v/>
      </c>
      <c r="AK21" s="190" t="str">
        <f t="shared" si="10"/>
        <v/>
      </c>
      <c r="AL21" s="187"/>
      <c r="AM21" s="187"/>
      <c r="AN21" s="318"/>
      <c r="AO21" s="318"/>
      <c r="AP21" s="318"/>
      <c r="AQ21" s="318"/>
      <c r="AR21" s="124"/>
      <c r="AS21" s="225"/>
    </row>
    <row r="27" spans="1:48" x14ac:dyDescent="0.25">
      <c r="M27" s="294"/>
      <c r="N27" s="294"/>
      <c r="O27" s="294"/>
    </row>
    <row r="28" spans="1:48" x14ac:dyDescent="0.25">
      <c r="M28" s="294"/>
      <c r="N28" s="294"/>
      <c r="O28" s="294"/>
    </row>
    <row r="29" spans="1:48" x14ac:dyDescent="0.25">
      <c r="M29" s="294"/>
      <c r="N29" s="294"/>
      <c r="O29" s="294"/>
    </row>
    <row r="30" spans="1:48" x14ac:dyDescent="0.25">
      <c r="M30" s="294"/>
      <c r="N30" s="294"/>
      <c r="O30" s="294"/>
    </row>
    <row r="31" spans="1:48" x14ac:dyDescent="0.25">
      <c r="M31" s="294"/>
      <c r="N31" s="294"/>
      <c r="O31" s="294"/>
    </row>
    <row r="32" spans="1:48" x14ac:dyDescent="0.25">
      <c r="M32" s="294"/>
      <c r="N32" s="294"/>
      <c r="O32" s="294"/>
    </row>
    <row r="33" spans="13:15" x14ac:dyDescent="0.25">
      <c r="M33" s="294"/>
      <c r="N33" s="294"/>
      <c r="O33" s="294"/>
    </row>
    <row r="34" spans="13:15" x14ac:dyDescent="0.25">
      <c r="M34" s="294"/>
      <c r="N34" s="294"/>
      <c r="O34" s="294"/>
    </row>
    <row r="35" spans="13:15" x14ac:dyDescent="0.25">
      <c r="M35" s="294"/>
      <c r="N35" s="294"/>
      <c r="O35" s="294"/>
    </row>
    <row r="36" spans="13:15" x14ac:dyDescent="0.25">
      <c r="M36" s="294"/>
      <c r="N36" s="294"/>
      <c r="O36" s="294"/>
    </row>
    <row r="37" spans="13:15" x14ac:dyDescent="0.25">
      <c r="M37" s="294"/>
      <c r="N37" s="294"/>
      <c r="O37" s="294"/>
    </row>
    <row r="38" spans="13:15" x14ac:dyDescent="0.25">
      <c r="M38" s="294"/>
      <c r="N38" s="294"/>
      <c r="O38" s="294"/>
    </row>
  </sheetData>
  <autoFilter ref="A2:AS2" xr:uid="{0B8AE25E-3CD4-41BA-B24E-34B52F1144C7}">
    <sortState xmlns:xlrd2="http://schemas.microsoft.com/office/spreadsheetml/2017/richdata2" ref="A3:AS21">
      <sortCondition descending="1" ref="B2"/>
    </sortState>
  </autoFilter>
  <mergeCells count="8">
    <mergeCell ref="AU17:AV17"/>
    <mergeCell ref="B1:L1"/>
    <mergeCell ref="AI1:AS1"/>
    <mergeCell ref="X1:AH1"/>
    <mergeCell ref="M1:W1"/>
    <mergeCell ref="AU2:AV2"/>
    <mergeCell ref="AU7:AV7"/>
    <mergeCell ref="AU12:AV12"/>
  </mergeCells>
  <phoneticPr fontId="7" type="noConversion"/>
  <conditionalFormatting sqref="B22:D41 M22:O27 M28 M29:O29 M30 O30 M31:O41 B21">
    <cfRule type="colorScale" priority="34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E3:E1048576">
    <cfRule type="colorScale" priority="149">
      <colorScale>
        <cfvo type="num" val="$AV$4-0.25"/>
        <cfvo type="num" val="$AV$4"/>
        <cfvo type="num" val="$AV$4+0.25"/>
        <color rgb="FFF8696B"/>
        <color rgb="FFFFEB84"/>
        <color rgb="FF63BE7B"/>
      </colorScale>
    </cfRule>
  </conditionalFormatting>
  <conditionalFormatting sqref="BS4:BS1048576 CD4:CD1048576 BH4:BH1048576 AW4:AW1048576">
    <cfRule type="colorScale" priority="150">
      <colorScale>
        <cfvo type="num" val="0"/>
        <cfvo type="num" val="$AV$5"/>
        <cfvo type="num" val="$AV$5*2"/>
        <color rgb="FFF8696B"/>
        <color rgb="FFFFEB84"/>
        <color rgb="FF63BE7B"/>
      </colorScale>
    </cfRule>
  </conditionalFormatting>
  <conditionalFormatting sqref="F3:F1048576">
    <cfRule type="colorScale" priority="154">
      <colorScale>
        <cfvo type="num" val="$AV$5-0.25"/>
        <cfvo type="num" val="$AV$5"/>
        <cfvo type="num" val="$AV$5+0.25"/>
        <color rgb="FFF8696B"/>
        <color rgb="FFFFEB84"/>
        <color rgb="FF63BE7B"/>
      </colorScale>
    </cfRule>
  </conditionalFormatting>
  <conditionalFormatting sqref="N3:O21">
    <cfRule type="colorScale" priority="27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P3:P1048576">
    <cfRule type="colorScale" priority="28">
      <colorScale>
        <cfvo type="num" val="$AV$9-0.25"/>
        <cfvo type="num" val="$AV$9"/>
        <cfvo type="num" val="$AV$9+0.25"/>
        <color rgb="FFF8696B"/>
        <color rgb="FFFFEB84"/>
        <color rgb="FF63BE7B"/>
      </colorScale>
    </cfRule>
  </conditionalFormatting>
  <conditionalFormatting sqref="Q3:Q1048576">
    <cfRule type="colorScale" priority="29">
      <colorScale>
        <cfvo type="num" val="$AV$10-0.25"/>
        <cfvo type="num" val="$AV$10"/>
        <cfvo type="num" val="$AV$10+0.25"/>
        <color rgb="FFF8696B"/>
        <color rgb="FFFFEB84"/>
        <color rgb="FF63BE7B"/>
      </colorScale>
    </cfRule>
  </conditionalFormatting>
  <conditionalFormatting sqref="X22:Z41 Y3:Z21">
    <cfRule type="colorScale" priority="24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AA3:AA1048576">
    <cfRule type="colorScale" priority="25">
      <colorScale>
        <cfvo type="num" val="$AV$14-0.25"/>
        <cfvo type="num" val="$AV$14"/>
        <cfvo type="num" val="$AV$14+0.25"/>
        <color rgb="FFF8696B"/>
        <color rgb="FFFFEB84"/>
        <color rgb="FF63BE7B"/>
      </colorScale>
    </cfRule>
  </conditionalFormatting>
  <conditionalFormatting sqref="AB3:AB1048576">
    <cfRule type="colorScale" priority="26">
      <colorScale>
        <cfvo type="num" val="$AV$15-0.25"/>
        <cfvo type="num" val="$AV$15"/>
        <cfvo type="num" val="$AV$15+0.25"/>
        <color rgb="FFF8696B"/>
        <color rgb="FFFFEB84"/>
        <color rgb="FF63BE7B"/>
      </colorScale>
    </cfRule>
  </conditionalFormatting>
  <conditionalFormatting sqref="AI22:AK41 AJ3:AK21">
    <cfRule type="colorScale" priority="21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AL2:AL1048576">
    <cfRule type="colorScale" priority="22">
      <colorScale>
        <cfvo type="num" val="$AV$19-0.25"/>
        <cfvo type="num" val="$AV$19"/>
        <cfvo type="num" val="$AV$19+0.25"/>
        <color rgb="FFF8696B"/>
        <color rgb="FFFFEB84"/>
        <color rgb="FF63BE7B"/>
      </colorScale>
    </cfRule>
  </conditionalFormatting>
  <conditionalFormatting sqref="AM2:AM1048576">
    <cfRule type="colorScale" priority="23">
      <colorScale>
        <cfvo type="num" val="$AV$20-0.25"/>
        <cfvo type="num" val="$AV$20"/>
        <cfvo type="num" val="$AV$20+0.25"/>
        <color rgb="FFF8696B"/>
        <color rgb="FFFFEB84"/>
        <color rgb="FF63BE7B"/>
      </colorScale>
    </cfRule>
  </conditionalFormatting>
  <conditionalFormatting sqref="B3:D20 C21:D21">
    <cfRule type="colorScale" priority="10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M3:M21">
    <cfRule type="colorScale" priority="9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X3:X21">
    <cfRule type="colorScale" priority="8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AI3:AI21">
    <cfRule type="colorScale" priority="7">
      <colorScale>
        <cfvo type="num" val="-0.5"/>
        <cfvo type="num" val="0"/>
        <cfvo type="num" val="0.5"/>
        <color rgb="FFF8696B"/>
        <color rgb="FFFFEB84"/>
        <color rgb="FF63BE7B"/>
      </colorScale>
    </cfRule>
  </conditionalFormatting>
  <conditionalFormatting sqref="AA2">
    <cfRule type="colorScale" priority="5">
      <colorScale>
        <cfvo type="num" val="$AV$19-0.25"/>
        <cfvo type="num" val="$AV$19"/>
        <cfvo type="num" val="$AV$19+0.25"/>
        <color rgb="FFF8696B"/>
        <color rgb="FFFFEB84"/>
        <color rgb="FF63BE7B"/>
      </colorScale>
    </cfRule>
  </conditionalFormatting>
  <conditionalFormatting sqref="AB2">
    <cfRule type="colorScale" priority="6">
      <colorScale>
        <cfvo type="num" val="$AV$20-0.25"/>
        <cfvo type="num" val="$AV$20"/>
        <cfvo type="num" val="$AV$20+0.25"/>
        <color rgb="FFF8696B"/>
        <color rgb="FFFFEB84"/>
        <color rgb="FF63BE7B"/>
      </colorScale>
    </cfRule>
  </conditionalFormatting>
  <conditionalFormatting sqref="P2">
    <cfRule type="colorScale" priority="3">
      <colorScale>
        <cfvo type="num" val="$AV$19-0.25"/>
        <cfvo type="num" val="$AV$19"/>
        <cfvo type="num" val="$AV$19+0.25"/>
        <color rgb="FFF8696B"/>
        <color rgb="FFFFEB84"/>
        <color rgb="FF63BE7B"/>
      </colorScale>
    </cfRule>
  </conditionalFormatting>
  <conditionalFormatting sqref="Q2">
    <cfRule type="colorScale" priority="4">
      <colorScale>
        <cfvo type="num" val="$AV$20-0.25"/>
        <cfvo type="num" val="$AV$20"/>
        <cfvo type="num" val="$AV$20+0.25"/>
        <color rgb="FFF8696B"/>
        <color rgb="FFFFEB84"/>
        <color rgb="FF63BE7B"/>
      </colorScale>
    </cfRule>
  </conditionalFormatting>
  <conditionalFormatting sqref="E2">
    <cfRule type="colorScale" priority="1">
      <colorScale>
        <cfvo type="num" val="$AV$19-0.25"/>
        <cfvo type="num" val="$AV$19"/>
        <cfvo type="num" val="$AV$19+0.25"/>
        <color rgb="FFF8696B"/>
        <color rgb="FFFFEB84"/>
        <color rgb="FF63BE7B"/>
      </colorScale>
    </cfRule>
  </conditionalFormatting>
  <conditionalFormatting sqref="F2">
    <cfRule type="colorScale" priority="2">
      <colorScale>
        <cfvo type="num" val="$AV$20-0.25"/>
        <cfvo type="num" val="$AV$20"/>
        <cfvo type="num" val="$AV$20+0.25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7" r:id="rId3" name="CheckBox4">
          <controlPr defaultSize="0" autoLine="0" r:id="rId4">
            <anchor moveWithCells="1">
              <from>
                <xdr:col>0</xdr:col>
                <xdr:colOff>66675</xdr:colOff>
                <xdr:row>33</xdr:row>
                <xdr:rowOff>95250</xdr:rowOff>
              </from>
              <to>
                <xdr:col>2</xdr:col>
                <xdr:colOff>0</xdr:colOff>
                <xdr:row>35</xdr:row>
                <xdr:rowOff>104775</xdr:rowOff>
              </to>
            </anchor>
          </controlPr>
        </control>
      </mc:Choice>
      <mc:Fallback>
        <control shapeId="13317" r:id="rId3" name="CheckBox4"/>
      </mc:Fallback>
    </mc:AlternateContent>
    <mc:AlternateContent xmlns:mc="http://schemas.openxmlformats.org/markup-compatibility/2006">
      <mc:Choice Requires="x14">
        <control shapeId="13316" r:id="rId5" name="CheckBox3">
          <controlPr defaultSize="0" autoLine="0" r:id="rId6">
            <anchor moveWithCells="1">
              <from>
                <xdr:col>0</xdr:col>
                <xdr:colOff>66675</xdr:colOff>
                <xdr:row>27</xdr:row>
                <xdr:rowOff>152400</xdr:rowOff>
              </from>
              <to>
                <xdr:col>2</xdr:col>
                <xdr:colOff>0</xdr:colOff>
                <xdr:row>29</xdr:row>
                <xdr:rowOff>161925</xdr:rowOff>
              </to>
            </anchor>
          </controlPr>
        </control>
      </mc:Choice>
      <mc:Fallback>
        <control shapeId="13316" r:id="rId5" name="CheckBox3"/>
      </mc:Fallback>
    </mc:AlternateContent>
    <mc:AlternateContent xmlns:mc="http://schemas.openxmlformats.org/markup-compatibility/2006">
      <mc:Choice Requires="x14">
        <control shapeId="13315" r:id="rId7" name="CheckBox2">
          <controlPr defaultSize="0" autoLine="0" r:id="rId8">
            <anchor moveWithCells="1">
              <from>
                <xdr:col>0</xdr:col>
                <xdr:colOff>66675</xdr:colOff>
                <xdr:row>30</xdr:row>
                <xdr:rowOff>123825</xdr:rowOff>
              </from>
              <to>
                <xdr:col>2</xdr:col>
                <xdr:colOff>0</xdr:colOff>
                <xdr:row>32</xdr:row>
                <xdr:rowOff>133350</xdr:rowOff>
              </to>
            </anchor>
          </controlPr>
        </control>
      </mc:Choice>
      <mc:Fallback>
        <control shapeId="13315" r:id="rId7" name="CheckBox2"/>
      </mc:Fallback>
    </mc:AlternateContent>
    <mc:AlternateContent xmlns:mc="http://schemas.openxmlformats.org/markup-compatibility/2006">
      <mc:Choice Requires="x14">
        <control shapeId="13314" r:id="rId9" name="CheckBox1">
          <controlPr defaultSize="0" autoLine="0" r:id="rId10">
            <anchor moveWithCells="1">
              <from>
                <xdr:col>0</xdr:col>
                <xdr:colOff>66675</xdr:colOff>
                <xdr:row>25</xdr:row>
                <xdr:rowOff>0</xdr:rowOff>
              </from>
              <to>
                <xdr:col>2</xdr:col>
                <xdr:colOff>0</xdr:colOff>
                <xdr:row>27</xdr:row>
                <xdr:rowOff>9525</xdr:rowOff>
              </to>
            </anchor>
          </controlPr>
        </control>
      </mc:Choice>
      <mc:Fallback>
        <control shapeId="13314" r:id="rId9" name="CheckBox1"/>
      </mc:Fallback>
    </mc:AlternateContent>
    <mc:AlternateContent xmlns:mc="http://schemas.openxmlformats.org/markup-compatibility/2006">
      <mc:Choice Requires="x14">
        <control shapeId="13313" r:id="rId11" name="Button 1">
          <controlPr defaultSize="0" print="0" autoFill="0" autoPict="0" macro="[0]!AdvancedStats">
            <anchor moveWithCells="1" sizeWithCells="1">
              <from>
                <xdr:col>0</xdr:col>
                <xdr:colOff>85725</xdr:colOff>
                <xdr:row>21</xdr:row>
                <xdr:rowOff>76200</xdr:rowOff>
              </from>
              <to>
                <xdr:col>0</xdr:col>
                <xdr:colOff>666750</xdr:colOff>
                <xdr:row>24</xdr:row>
                <xdr:rowOff>19050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45617-06F4-4392-9373-2F80BA42B4B5}">
  <sheetPr codeName="Sheet2"/>
  <dimension ref="A1:AG53"/>
  <sheetViews>
    <sheetView showGridLines="0" zoomScale="70" zoomScaleNormal="70" workbookViewId="0">
      <selection activeCell="T22" sqref="T22"/>
    </sheetView>
  </sheetViews>
  <sheetFormatPr defaultRowHeight="18.75" x14ac:dyDescent="0.3"/>
  <cols>
    <col min="1" max="1" width="14.28515625" style="3" bestFit="1" customWidth="1"/>
    <col min="2" max="2" width="7" style="113" bestFit="1" customWidth="1"/>
    <col min="3" max="3" width="6.7109375" style="38" bestFit="1" customWidth="1"/>
    <col min="4" max="4" width="5.7109375" style="38" bestFit="1" customWidth="1"/>
    <col min="5" max="5" width="6.7109375" style="38" bestFit="1" customWidth="1"/>
    <col min="6" max="6" width="9.140625" style="3" customWidth="1"/>
    <col min="7" max="7" width="14.28515625" style="3" customWidth="1"/>
    <col min="8" max="8" width="7" style="113" customWidth="1"/>
    <col min="9" max="9" width="6.7109375" style="38" customWidth="1"/>
    <col min="10" max="11" width="8.28515625" style="38" customWidth="1"/>
    <col min="12" max="12" width="9.140625" style="3" customWidth="1"/>
    <col min="13" max="13" width="14.28515625" style="1" customWidth="1"/>
    <col min="14" max="14" width="7" style="109" customWidth="1"/>
    <col min="15" max="15" width="6.7109375" style="44" customWidth="1"/>
    <col min="16" max="16" width="5.7109375" style="44" customWidth="1"/>
    <col min="17" max="17" width="6.7109375" style="38" customWidth="1"/>
    <col min="18" max="18" width="9.140625" style="3" customWidth="1"/>
    <col min="19" max="22" width="9.140625" style="3"/>
    <col min="23" max="23" width="9.140625" style="24"/>
    <col min="24" max="32" width="9.140625" style="172"/>
    <col min="33" max="16384" width="9.140625" style="3"/>
  </cols>
  <sheetData>
    <row r="1" spans="1:33" ht="15" x14ac:dyDescent="0.25">
      <c r="A1" s="403" t="s">
        <v>56</v>
      </c>
      <c r="B1" s="403"/>
      <c r="C1" s="403"/>
      <c r="D1" s="403"/>
      <c r="E1" s="403"/>
      <c r="F1" s="24"/>
      <c r="G1" s="403" t="s">
        <v>26</v>
      </c>
      <c r="H1" s="403"/>
      <c r="I1" s="403"/>
      <c r="J1" s="403"/>
      <c r="K1" s="403"/>
      <c r="L1" s="25"/>
      <c r="M1" s="404" t="s">
        <v>25</v>
      </c>
      <c r="N1" s="404"/>
      <c r="O1" s="404"/>
      <c r="P1" s="404"/>
      <c r="Q1" s="404"/>
      <c r="W1" s="402" t="s">
        <v>82</v>
      </c>
      <c r="X1" s="402"/>
      <c r="Y1" s="402"/>
      <c r="Z1" s="402"/>
      <c r="AA1" s="402"/>
      <c r="AB1" s="402"/>
      <c r="AC1" s="402"/>
      <c r="AD1" s="402"/>
      <c r="AE1" s="402"/>
    </row>
    <row r="2" spans="1:33" x14ac:dyDescent="0.3">
      <c r="A2" s="4"/>
      <c r="B2" s="110"/>
      <c r="C2" s="6"/>
      <c r="D2" s="6"/>
      <c r="E2" s="21"/>
      <c r="F2" s="21"/>
      <c r="G2" s="4"/>
      <c r="H2" s="110"/>
      <c r="I2" s="6"/>
      <c r="J2" s="6"/>
      <c r="K2" s="21"/>
      <c r="M2" s="15"/>
      <c r="N2" s="86"/>
      <c r="O2" s="18"/>
      <c r="P2" s="18"/>
      <c r="Q2" s="19"/>
    </row>
    <row r="3" spans="1:33" s="21" customFormat="1" x14ac:dyDescent="0.3">
      <c r="A3" s="15"/>
      <c r="B3" s="87" t="s">
        <v>42</v>
      </c>
      <c r="C3" s="61" t="s">
        <v>22</v>
      </c>
      <c r="D3" s="62" t="s">
        <v>19</v>
      </c>
      <c r="E3" s="63" t="s">
        <v>24</v>
      </c>
      <c r="F3" s="19"/>
      <c r="G3" s="15"/>
      <c r="H3" s="87" t="s">
        <v>42</v>
      </c>
      <c r="I3" s="61" t="s">
        <v>22</v>
      </c>
      <c r="J3" s="62" t="s">
        <v>19</v>
      </c>
      <c r="K3" s="63" t="s">
        <v>24</v>
      </c>
      <c r="L3" s="19"/>
      <c r="M3" s="15"/>
      <c r="N3" s="87" t="s">
        <v>42</v>
      </c>
      <c r="O3" s="61" t="s">
        <v>22</v>
      </c>
      <c r="P3" s="62" t="s">
        <v>19</v>
      </c>
      <c r="Q3" s="63" t="s">
        <v>24</v>
      </c>
      <c r="W3" s="24" t="s">
        <v>5</v>
      </c>
      <c r="X3" s="128">
        <v>2</v>
      </c>
      <c r="Y3" s="128">
        <v>3</v>
      </c>
      <c r="Z3" s="128">
        <v>4</v>
      </c>
      <c r="AA3" s="128">
        <v>5</v>
      </c>
      <c r="AB3" s="128">
        <v>6</v>
      </c>
      <c r="AC3" s="128">
        <v>7</v>
      </c>
      <c r="AD3" s="128">
        <v>8</v>
      </c>
      <c r="AE3" s="128">
        <v>9</v>
      </c>
      <c r="AF3" s="128"/>
    </row>
    <row r="4" spans="1:33" s="21" customFormat="1" x14ac:dyDescent="0.3">
      <c r="A4" s="57" t="s">
        <v>29</v>
      </c>
      <c r="B4" s="88">
        <f t="shared" ref="B4:E5" si="0">B19+B38</f>
        <v>145</v>
      </c>
      <c r="C4" s="45">
        <f t="shared" si="0"/>
        <v>101</v>
      </c>
      <c r="D4" s="46">
        <f t="shared" si="0"/>
        <v>28</v>
      </c>
      <c r="E4" s="47">
        <f t="shared" si="0"/>
        <v>16</v>
      </c>
      <c r="F4" s="19"/>
      <c r="G4" s="57" t="s">
        <v>29</v>
      </c>
      <c r="H4" s="88">
        <f t="shared" ref="H4:K5" si="1">H19+H38</f>
        <v>48</v>
      </c>
      <c r="I4" s="48">
        <f t="shared" si="1"/>
        <v>38</v>
      </c>
      <c r="J4" s="18">
        <f t="shared" si="1"/>
        <v>3</v>
      </c>
      <c r="K4" s="49">
        <f t="shared" si="1"/>
        <v>7</v>
      </c>
      <c r="L4" s="19"/>
      <c r="M4" s="57" t="s">
        <v>29</v>
      </c>
      <c r="N4" s="88">
        <f t="shared" ref="N4:Q5" si="2">N19+N38</f>
        <v>97</v>
      </c>
      <c r="O4" s="48">
        <f t="shared" si="2"/>
        <v>63</v>
      </c>
      <c r="P4" s="18">
        <f t="shared" si="2"/>
        <v>25</v>
      </c>
      <c r="Q4" s="49">
        <f t="shared" si="2"/>
        <v>9</v>
      </c>
      <c r="W4" s="24" t="s">
        <v>29</v>
      </c>
      <c r="X4" s="133">
        <v>3</v>
      </c>
      <c r="Y4" s="133">
        <v>11</v>
      </c>
      <c r="Z4" s="133">
        <v>18</v>
      </c>
      <c r="AA4" s="133">
        <v>12</v>
      </c>
      <c r="AB4" s="133">
        <v>10</v>
      </c>
      <c r="AC4" s="133">
        <v>9</v>
      </c>
      <c r="AD4" s="133">
        <v>12</v>
      </c>
      <c r="AE4" s="133">
        <v>13</v>
      </c>
      <c r="AF4" s="128"/>
    </row>
    <row r="5" spans="1:33" s="21" customFormat="1" x14ac:dyDescent="0.3">
      <c r="A5" s="58" t="s">
        <v>30</v>
      </c>
      <c r="B5" s="88">
        <f t="shared" si="0"/>
        <v>106</v>
      </c>
      <c r="C5" s="48">
        <f t="shared" si="0"/>
        <v>71</v>
      </c>
      <c r="D5" s="18">
        <f t="shared" si="0"/>
        <v>21</v>
      </c>
      <c r="E5" s="49">
        <f t="shared" si="0"/>
        <v>14</v>
      </c>
      <c r="F5" s="19"/>
      <c r="G5" s="58" t="s">
        <v>30</v>
      </c>
      <c r="H5" s="88">
        <f t="shared" si="1"/>
        <v>34</v>
      </c>
      <c r="I5" s="48">
        <f t="shared" si="1"/>
        <v>27</v>
      </c>
      <c r="J5" s="18">
        <f t="shared" si="1"/>
        <v>1</v>
      </c>
      <c r="K5" s="49">
        <f t="shared" si="1"/>
        <v>6</v>
      </c>
      <c r="L5" s="19"/>
      <c r="M5" s="58" t="s">
        <v>30</v>
      </c>
      <c r="N5" s="88">
        <f t="shared" si="2"/>
        <v>72</v>
      </c>
      <c r="O5" s="48">
        <f t="shared" si="2"/>
        <v>44</v>
      </c>
      <c r="P5" s="18">
        <f t="shared" si="2"/>
        <v>20</v>
      </c>
      <c r="Q5" s="49">
        <f t="shared" si="2"/>
        <v>8</v>
      </c>
      <c r="W5" s="24" t="s">
        <v>30</v>
      </c>
      <c r="X5" s="133">
        <v>1</v>
      </c>
      <c r="Y5" s="133">
        <v>10</v>
      </c>
      <c r="Z5" s="133">
        <v>16</v>
      </c>
      <c r="AA5" s="133">
        <v>10</v>
      </c>
      <c r="AB5" s="133">
        <v>8</v>
      </c>
      <c r="AC5" s="133">
        <v>6</v>
      </c>
      <c r="AD5" s="133">
        <v>10</v>
      </c>
      <c r="AE5" s="133">
        <v>8</v>
      </c>
      <c r="AF5" s="128"/>
    </row>
    <row r="6" spans="1:33" s="21" customFormat="1" x14ac:dyDescent="0.3">
      <c r="A6" s="58"/>
      <c r="B6" s="88"/>
      <c r="C6" s="48"/>
      <c r="D6" s="18"/>
      <c r="E6" s="49"/>
      <c r="F6" s="19"/>
      <c r="G6" s="58"/>
      <c r="H6" s="88"/>
      <c r="I6" s="48"/>
      <c r="J6" s="18"/>
      <c r="K6" s="49"/>
      <c r="L6" s="19"/>
      <c r="M6" s="58"/>
      <c r="N6" s="88"/>
      <c r="O6" s="48"/>
      <c r="P6" s="18"/>
      <c r="Q6" s="49"/>
      <c r="W6" s="24" t="s">
        <v>84</v>
      </c>
      <c r="X6" s="176">
        <f>IF(SUM($X4:X4)="","",SUM($X5:X5)/SUM($X4:X4))</f>
        <v>0.33333333333333331</v>
      </c>
      <c r="Y6" s="176">
        <f>IF(SUM($X4:Y4)="","",SUM($X5:Y5)/SUM($X4:Y4))</f>
        <v>0.7857142857142857</v>
      </c>
      <c r="Z6" s="176">
        <f>IF(SUM($X4:Z4)="","",SUM($X5:Z5)/SUM($X4:Z4))</f>
        <v>0.84375</v>
      </c>
      <c r="AA6" s="176">
        <f>IF(SUM($X4:AA4)="","",SUM($X5:AA5)/SUM($X4:AA4))</f>
        <v>0.84090909090909094</v>
      </c>
      <c r="AB6" s="176">
        <f>IF(SUM($X4:AB4)="","",SUM($X5:AB5)/SUM($X4:AB4))</f>
        <v>0.83333333333333337</v>
      </c>
      <c r="AC6" s="176">
        <f>IF(SUM($X4:AC4)="","",SUM($X5:AC5)/SUM($X4:AC4))</f>
        <v>0.80952380952380953</v>
      </c>
      <c r="AD6" s="176">
        <f>IF(SUM($X4:AD4)="","",SUM($X5:AD5)/SUM($X4:AD4))</f>
        <v>0.81333333333333335</v>
      </c>
      <c r="AE6" s="176">
        <f>IF(SUM($X4:AE4)="","",SUM($X5:AE5)/SUM($X4:AE4))</f>
        <v>0.78409090909090906</v>
      </c>
      <c r="AF6" s="128"/>
    </row>
    <row r="7" spans="1:33" x14ac:dyDescent="0.3">
      <c r="A7" s="59" t="s">
        <v>31</v>
      </c>
      <c r="B7" s="89">
        <f>B5/B4</f>
        <v>0.73103448275862071</v>
      </c>
      <c r="C7" s="50">
        <f>C5/C4</f>
        <v>0.70297029702970293</v>
      </c>
      <c r="D7" s="31">
        <f>D5/D4</f>
        <v>0.75</v>
      </c>
      <c r="E7" s="32">
        <f>E5/E4</f>
        <v>0.875</v>
      </c>
      <c r="F7" s="19"/>
      <c r="G7" s="59" t="s">
        <v>31</v>
      </c>
      <c r="H7" s="89">
        <f>H5/H4</f>
        <v>0.70833333333333337</v>
      </c>
      <c r="I7" s="50">
        <f>I5/I4</f>
        <v>0.71052631578947367</v>
      </c>
      <c r="J7" s="31">
        <f>J5/J4</f>
        <v>0.33333333333333331</v>
      </c>
      <c r="K7" s="32">
        <f>K5/K4</f>
        <v>0.8571428571428571</v>
      </c>
      <c r="L7" s="26"/>
      <c r="M7" s="59" t="s">
        <v>31</v>
      </c>
      <c r="N7" s="89">
        <f>N5/N4</f>
        <v>0.74226804123711343</v>
      </c>
      <c r="O7" s="50">
        <f>O5/O4</f>
        <v>0.69841269841269837</v>
      </c>
      <c r="P7" s="31">
        <f>P5/P4</f>
        <v>0.8</v>
      </c>
      <c r="Q7" s="32">
        <f>Q5/Q4</f>
        <v>0.88888888888888884</v>
      </c>
      <c r="X7" s="173"/>
      <c r="Y7" s="173"/>
      <c r="Z7" s="173"/>
      <c r="AA7" s="173"/>
      <c r="AB7" s="173"/>
      <c r="AC7" s="173"/>
      <c r="AD7" s="173"/>
      <c r="AE7" s="173"/>
      <c r="AF7" s="128"/>
    </row>
    <row r="8" spans="1:33" x14ac:dyDescent="0.3">
      <c r="A8" s="58"/>
      <c r="B8" s="88"/>
      <c r="C8" s="48"/>
      <c r="D8" s="18"/>
      <c r="E8" s="49"/>
      <c r="F8" s="19"/>
      <c r="G8" s="58"/>
      <c r="H8" s="88"/>
      <c r="I8" s="48"/>
      <c r="J8" s="18"/>
      <c r="K8" s="49"/>
      <c r="L8" s="26"/>
      <c r="M8" s="58"/>
      <c r="N8" s="90"/>
      <c r="O8" s="51"/>
      <c r="P8" s="39"/>
      <c r="Q8" s="52"/>
      <c r="W8" s="402" t="s">
        <v>83</v>
      </c>
      <c r="X8" s="402"/>
      <c r="Y8" s="402"/>
      <c r="Z8" s="402"/>
      <c r="AA8" s="402"/>
      <c r="AB8" s="402"/>
      <c r="AC8" s="402"/>
      <c r="AD8" s="402"/>
      <c r="AE8" s="402"/>
      <c r="AF8" s="402"/>
    </row>
    <row r="9" spans="1:33" x14ac:dyDescent="0.3">
      <c r="A9" s="58" t="s">
        <v>46</v>
      </c>
      <c r="B9" s="91">
        <f>B22/B$4</f>
        <v>0.40689655172413791</v>
      </c>
      <c r="C9" s="53">
        <f t="shared" ref="C9:Q9" si="3">C22/C$4</f>
        <v>0.38613861386138615</v>
      </c>
      <c r="D9" s="33">
        <f t="shared" si="3"/>
        <v>0.5</v>
      </c>
      <c r="E9" s="54">
        <f t="shared" si="3"/>
        <v>0.375</v>
      </c>
      <c r="F9" s="20"/>
      <c r="G9" s="58" t="s">
        <v>46</v>
      </c>
      <c r="H9" s="91">
        <f t="shared" si="3"/>
        <v>0.4375</v>
      </c>
      <c r="I9" s="53">
        <f t="shared" si="3"/>
        <v>0.44736842105263158</v>
      </c>
      <c r="J9" s="33">
        <f t="shared" si="3"/>
        <v>0.66666666666666663</v>
      </c>
      <c r="K9" s="54">
        <f t="shared" si="3"/>
        <v>0.2857142857142857</v>
      </c>
      <c r="L9" s="20"/>
      <c r="M9" s="58" t="s">
        <v>46</v>
      </c>
      <c r="N9" s="91">
        <f t="shared" si="3"/>
        <v>0.39175257731958762</v>
      </c>
      <c r="O9" s="53">
        <f t="shared" si="3"/>
        <v>0.34920634920634919</v>
      </c>
      <c r="P9" s="33">
        <f t="shared" si="3"/>
        <v>0.48</v>
      </c>
      <c r="Q9" s="54">
        <f t="shared" si="3"/>
        <v>0.44444444444444442</v>
      </c>
      <c r="W9" s="24" t="s">
        <v>5</v>
      </c>
      <c r="X9" s="128">
        <v>2</v>
      </c>
      <c r="Y9" s="128">
        <v>3</v>
      </c>
      <c r="Z9" s="128">
        <v>4</v>
      </c>
      <c r="AA9" s="128">
        <v>5</v>
      </c>
      <c r="AB9" s="128">
        <v>6</v>
      </c>
      <c r="AC9" s="128">
        <v>7</v>
      </c>
      <c r="AD9" s="128">
        <v>8</v>
      </c>
      <c r="AE9" s="128">
        <v>9</v>
      </c>
      <c r="AF9" s="128">
        <v>10</v>
      </c>
    </row>
    <row r="10" spans="1:33" x14ac:dyDescent="0.3">
      <c r="A10" s="58" t="s">
        <v>44</v>
      </c>
      <c r="B10" s="91">
        <f>SUM(B23,B43)/B$4</f>
        <v>0.42758620689655175</v>
      </c>
      <c r="C10" s="53">
        <f t="shared" ref="C10:Q10" si="4">SUM(C23,C43)/C$4</f>
        <v>0.42574257425742573</v>
      </c>
      <c r="D10" s="33">
        <f t="shared" si="4"/>
        <v>0.42857142857142855</v>
      </c>
      <c r="E10" s="54">
        <f t="shared" si="4"/>
        <v>0.4375</v>
      </c>
      <c r="F10" s="20"/>
      <c r="G10" s="58" t="s">
        <v>44</v>
      </c>
      <c r="H10" s="91">
        <f t="shared" si="4"/>
        <v>0.375</v>
      </c>
      <c r="I10" s="53">
        <f t="shared" si="4"/>
        <v>0.34210526315789475</v>
      </c>
      <c r="J10" s="33">
        <f t="shared" si="4"/>
        <v>0</v>
      </c>
      <c r="K10" s="54">
        <f t="shared" si="4"/>
        <v>0.7142857142857143</v>
      </c>
      <c r="L10" s="20"/>
      <c r="M10" s="58" t="s">
        <v>44</v>
      </c>
      <c r="N10" s="91">
        <f t="shared" si="4"/>
        <v>0.45360824742268041</v>
      </c>
      <c r="O10" s="53">
        <f t="shared" si="4"/>
        <v>0.47619047619047616</v>
      </c>
      <c r="P10" s="33">
        <f t="shared" si="4"/>
        <v>0.48</v>
      </c>
      <c r="Q10" s="54">
        <f t="shared" si="4"/>
        <v>0.22222222222222221</v>
      </c>
      <c r="W10" s="24" t="s">
        <v>29</v>
      </c>
      <c r="X10" s="133">
        <v>4</v>
      </c>
      <c r="Y10" s="133">
        <v>2</v>
      </c>
      <c r="Z10" s="133">
        <v>10</v>
      </c>
      <c r="AA10" s="133">
        <v>4</v>
      </c>
      <c r="AB10" s="133">
        <v>5</v>
      </c>
      <c r="AC10" s="133">
        <v>1</v>
      </c>
      <c r="AD10" s="133">
        <v>6</v>
      </c>
      <c r="AE10" s="133">
        <v>5</v>
      </c>
      <c r="AF10" s="133">
        <v>6</v>
      </c>
      <c r="AG10" s="21"/>
    </row>
    <row r="11" spans="1:33" x14ac:dyDescent="0.3">
      <c r="A11" s="58" t="s">
        <v>45</v>
      </c>
      <c r="B11" s="91">
        <f>SUM(B24,B44)/B$4</f>
        <v>0.15172413793103448</v>
      </c>
      <c r="C11" s="53">
        <f t="shared" ref="C11:Q11" si="5">SUM(C24,C44)/C$4</f>
        <v>0.16831683168316833</v>
      </c>
      <c r="D11" s="33">
        <f t="shared" si="5"/>
        <v>7.1428571428571425E-2</v>
      </c>
      <c r="E11" s="54">
        <f t="shared" si="5"/>
        <v>0.1875</v>
      </c>
      <c r="F11" s="20"/>
      <c r="G11" s="58" t="s">
        <v>45</v>
      </c>
      <c r="H11" s="91">
        <f t="shared" si="5"/>
        <v>0.14583333333333334</v>
      </c>
      <c r="I11" s="53">
        <f t="shared" si="5"/>
        <v>0.15789473684210525</v>
      </c>
      <c r="J11" s="33">
        <f t="shared" si="5"/>
        <v>0.33333333333333331</v>
      </c>
      <c r="K11" s="54">
        <f t="shared" si="5"/>
        <v>0</v>
      </c>
      <c r="L11" s="20"/>
      <c r="M11" s="58" t="s">
        <v>45</v>
      </c>
      <c r="N11" s="91">
        <f t="shared" si="5"/>
        <v>0.15463917525773196</v>
      </c>
      <c r="O11" s="53">
        <f t="shared" si="5"/>
        <v>0.17460317460317459</v>
      </c>
      <c r="P11" s="33">
        <f t="shared" si="5"/>
        <v>0.04</v>
      </c>
      <c r="Q11" s="54">
        <f t="shared" si="5"/>
        <v>0.33333333333333331</v>
      </c>
      <c r="W11" s="24" t="s">
        <v>30</v>
      </c>
      <c r="X11" s="133">
        <v>3</v>
      </c>
      <c r="Y11" s="133">
        <v>1</v>
      </c>
      <c r="Z11" s="133">
        <v>5</v>
      </c>
      <c r="AA11" s="133">
        <v>4</v>
      </c>
      <c r="AB11" s="133">
        <v>2</v>
      </c>
      <c r="AC11" s="133">
        <v>1</v>
      </c>
      <c r="AD11" s="133">
        <v>6</v>
      </c>
      <c r="AE11" s="133">
        <v>3</v>
      </c>
      <c r="AF11" s="133">
        <v>5</v>
      </c>
      <c r="AG11" s="21"/>
    </row>
    <row r="12" spans="1:33" x14ac:dyDescent="0.3">
      <c r="A12" s="58"/>
      <c r="B12" s="92">
        <f>SUM(B31,B52)</f>
        <v>839</v>
      </c>
      <c r="C12" s="55">
        <f t="shared" ref="C12:Q12" si="6">SUM(C31,C52)</f>
        <v>597</v>
      </c>
      <c r="D12" s="17">
        <f t="shared" si="6"/>
        <v>164</v>
      </c>
      <c r="E12" s="56">
        <f t="shared" si="6"/>
        <v>78</v>
      </c>
      <c r="F12" s="12"/>
      <c r="G12" s="60"/>
      <c r="H12" s="92">
        <f t="shared" si="6"/>
        <v>288</v>
      </c>
      <c r="I12" s="55">
        <f t="shared" si="6"/>
        <v>238</v>
      </c>
      <c r="J12" s="17">
        <f t="shared" si="6"/>
        <v>20</v>
      </c>
      <c r="K12" s="56">
        <f t="shared" si="6"/>
        <v>30</v>
      </c>
      <c r="L12" s="12"/>
      <c r="M12" s="60"/>
      <c r="N12" s="92">
        <f t="shared" si="6"/>
        <v>551</v>
      </c>
      <c r="O12" s="55">
        <f t="shared" si="6"/>
        <v>359</v>
      </c>
      <c r="P12" s="17">
        <f t="shared" si="6"/>
        <v>144</v>
      </c>
      <c r="Q12" s="56">
        <f t="shared" si="6"/>
        <v>48</v>
      </c>
      <c r="W12" s="24" t="s">
        <v>84</v>
      </c>
      <c r="X12" s="176">
        <f>IF(SUM(X10)="","",SUM(X11)/SUM(X10))</f>
        <v>0.75</v>
      </c>
      <c r="Y12" s="176">
        <f>IF(SUM(X10:Y10)="","",SUM(X11:Y11)/SUM(X10:Y10))</f>
        <v>0.66666666666666663</v>
      </c>
      <c r="Z12" s="176">
        <f>IF(SUM(X10:Z10)="","",SUM(X11:Z11)/SUM(X10:Z10))</f>
        <v>0.5625</v>
      </c>
      <c r="AA12" s="176">
        <f>IF(SUM(X10:AA10)="","",SUM(X11:AA11)/SUM(X10:AA10))</f>
        <v>0.65</v>
      </c>
      <c r="AB12" s="176">
        <f>IF(SUM(X10:AB10)="","",SUM(X11:AB11)/SUM(X10:AB10))</f>
        <v>0.6</v>
      </c>
      <c r="AC12" s="176">
        <f>IF(SUM(X10:AC10)="","",SUM(X11:AC11)/SUM(X10:AC10))</f>
        <v>0.61538461538461542</v>
      </c>
      <c r="AD12" s="176">
        <f>IF(SUM(X10:AD10)="","",SUM(X11:AD11)/SUM(X10:AD10))</f>
        <v>0.6875</v>
      </c>
      <c r="AE12" s="176">
        <f>IF(SUM(X10:AE10)="","",SUM(X11:AE11)/SUM(X10:AE10))</f>
        <v>0.67567567567567566</v>
      </c>
      <c r="AF12" s="176">
        <f>IF(SUM(X10:AF10)="","",SUM(X11:AF11)/SUM(X10:AF10))</f>
        <v>0.69767441860465118</v>
      </c>
    </row>
    <row r="13" spans="1:33" x14ac:dyDescent="0.3">
      <c r="A13" s="59" t="s">
        <v>43</v>
      </c>
      <c r="B13" s="93">
        <f>B12/B4</f>
        <v>5.7862068965517244</v>
      </c>
      <c r="C13" s="64">
        <f t="shared" ref="C13:Q13" si="7">C12/C4</f>
        <v>5.9108910891089108</v>
      </c>
      <c r="D13" s="65">
        <f t="shared" si="7"/>
        <v>5.8571428571428568</v>
      </c>
      <c r="E13" s="66">
        <f t="shared" si="7"/>
        <v>4.875</v>
      </c>
      <c r="F13" s="134"/>
      <c r="G13" s="59" t="s">
        <v>43</v>
      </c>
      <c r="H13" s="93">
        <f t="shared" si="7"/>
        <v>6</v>
      </c>
      <c r="I13" s="64">
        <f t="shared" si="7"/>
        <v>6.2631578947368425</v>
      </c>
      <c r="J13" s="65">
        <f t="shared" si="7"/>
        <v>6.666666666666667</v>
      </c>
      <c r="K13" s="66">
        <f t="shared" si="7"/>
        <v>4.2857142857142856</v>
      </c>
      <c r="L13" s="134"/>
      <c r="M13" s="59" t="s">
        <v>43</v>
      </c>
      <c r="N13" s="93">
        <f t="shared" si="7"/>
        <v>5.6804123711340209</v>
      </c>
      <c r="O13" s="64">
        <f t="shared" si="7"/>
        <v>5.6984126984126986</v>
      </c>
      <c r="P13" s="65">
        <f t="shared" si="7"/>
        <v>5.76</v>
      </c>
      <c r="Q13" s="66">
        <f t="shared" si="7"/>
        <v>5.333333333333333</v>
      </c>
    </row>
    <row r="14" spans="1:33" x14ac:dyDescent="0.3">
      <c r="A14" s="23"/>
      <c r="B14" s="86"/>
      <c r="C14" s="18"/>
      <c r="D14" s="18"/>
      <c r="E14" s="18"/>
      <c r="F14" s="19"/>
      <c r="G14" s="15"/>
      <c r="H14" s="86"/>
      <c r="I14" s="18"/>
      <c r="J14" s="18"/>
      <c r="K14" s="18"/>
      <c r="L14" s="26"/>
      <c r="M14" s="15"/>
      <c r="N14" s="94"/>
      <c r="O14" s="39"/>
      <c r="P14" s="39"/>
      <c r="Q14" s="39"/>
    </row>
    <row r="15" spans="1:33" ht="15" x14ac:dyDescent="0.25">
      <c r="A15" s="401" t="s">
        <v>13</v>
      </c>
      <c r="B15" s="401"/>
      <c r="C15" s="401"/>
      <c r="D15" s="401"/>
      <c r="E15" s="401"/>
      <c r="F15" s="19"/>
      <c r="G15" s="401" t="s">
        <v>13</v>
      </c>
      <c r="H15" s="401"/>
      <c r="I15" s="401"/>
      <c r="J15" s="401"/>
      <c r="K15" s="401"/>
      <c r="L15" s="26"/>
      <c r="M15" s="399" t="s">
        <v>13</v>
      </c>
      <c r="N15" s="399"/>
      <c r="O15" s="399"/>
      <c r="P15" s="399"/>
      <c r="Q15" s="399"/>
    </row>
    <row r="16" spans="1:33" x14ac:dyDescent="0.3">
      <c r="A16" s="22"/>
      <c r="B16" s="86"/>
      <c r="C16" s="18"/>
      <c r="D16" s="18"/>
      <c r="E16" s="18"/>
      <c r="F16" s="19"/>
      <c r="G16" s="22"/>
      <c r="H16" s="86"/>
      <c r="I16" s="18"/>
      <c r="J16" s="18"/>
      <c r="K16" s="18"/>
      <c r="L16" s="26"/>
      <c r="M16" s="134"/>
      <c r="N16" s="86"/>
      <c r="O16" s="18"/>
      <c r="P16" s="18"/>
      <c r="Q16" s="18"/>
    </row>
    <row r="17" spans="1:32" s="144" customFormat="1" x14ac:dyDescent="0.3">
      <c r="A17" s="68" t="s">
        <v>27</v>
      </c>
      <c r="B17" s="140">
        <f>B19/B4</f>
        <v>0.8</v>
      </c>
      <c r="C17" s="141">
        <f>C19/C4</f>
        <v>0.80198019801980203</v>
      </c>
      <c r="D17" s="142">
        <f>D19/D4</f>
        <v>0.8571428571428571</v>
      </c>
      <c r="E17" s="143">
        <f>E19/E4</f>
        <v>0.6875</v>
      </c>
      <c r="F17" s="135"/>
      <c r="G17" s="68" t="s">
        <v>27</v>
      </c>
      <c r="H17" s="140">
        <f>H19/H4</f>
        <v>0.8125</v>
      </c>
      <c r="I17" s="141">
        <f>I19/I4</f>
        <v>0.81578947368421051</v>
      </c>
      <c r="J17" s="142">
        <f>J19/J4</f>
        <v>0.66666666666666663</v>
      </c>
      <c r="K17" s="143">
        <f>K19/K4</f>
        <v>0.8571428571428571</v>
      </c>
      <c r="L17" s="135"/>
      <c r="M17" s="68" t="s">
        <v>27</v>
      </c>
      <c r="N17" s="140">
        <f>N19/N4</f>
        <v>0.79381443298969068</v>
      </c>
      <c r="O17" s="141">
        <f>O19/O4</f>
        <v>0.79365079365079361</v>
      </c>
      <c r="P17" s="142">
        <f>P19/P4</f>
        <v>0.88</v>
      </c>
      <c r="Q17" s="143">
        <f>Q19/Q4</f>
        <v>0.55555555555555558</v>
      </c>
      <c r="W17" s="24"/>
      <c r="X17" s="172"/>
      <c r="Y17" s="172"/>
      <c r="Z17" s="172"/>
      <c r="AA17" s="172"/>
      <c r="AB17" s="172"/>
      <c r="AC17" s="172"/>
      <c r="AD17" s="172"/>
      <c r="AE17" s="172"/>
      <c r="AF17" s="172"/>
    </row>
    <row r="18" spans="1:32" x14ac:dyDescent="0.3">
      <c r="A18" s="67"/>
      <c r="B18" s="96"/>
      <c r="C18" s="48"/>
      <c r="D18" s="18"/>
      <c r="E18" s="49"/>
      <c r="F18" s="134"/>
      <c r="G18" s="67"/>
      <c r="H18" s="96"/>
      <c r="I18" s="48"/>
      <c r="J18" s="18"/>
      <c r="K18" s="49"/>
      <c r="L18" s="27"/>
      <c r="M18" s="67"/>
      <c r="N18" s="96"/>
      <c r="O18" s="48"/>
      <c r="P18" s="18"/>
      <c r="Q18" s="49"/>
      <c r="X18" s="174"/>
      <c r="Y18" s="174"/>
      <c r="Z18" s="174"/>
      <c r="AA18" s="174"/>
      <c r="AB18" s="174"/>
      <c r="AC18" s="174"/>
      <c r="AD18" s="174"/>
      <c r="AE18" s="174"/>
      <c r="AF18" s="174"/>
    </row>
    <row r="19" spans="1:32" x14ac:dyDescent="0.3">
      <c r="A19" s="67" t="s">
        <v>29</v>
      </c>
      <c r="B19" s="112">
        <f>SUM(C19:E19)</f>
        <v>116</v>
      </c>
      <c r="C19" s="72">
        <f>I19+O19</f>
        <v>81</v>
      </c>
      <c r="D19" s="30">
        <f t="shared" ref="D19:E24" si="8">J19+P19</f>
        <v>24</v>
      </c>
      <c r="E19" s="73">
        <f t="shared" si="8"/>
        <v>11</v>
      </c>
      <c r="F19" s="28"/>
      <c r="G19" s="67" t="s">
        <v>29</v>
      </c>
      <c r="H19" s="112">
        <f>SUM(I19:K19)</f>
        <v>39</v>
      </c>
      <c r="I19" s="72">
        <v>31</v>
      </c>
      <c r="J19" s="30">
        <v>2</v>
      </c>
      <c r="K19" s="73">
        <v>6</v>
      </c>
      <c r="L19" s="28"/>
      <c r="M19" s="67" t="s">
        <v>29</v>
      </c>
      <c r="N19" s="97">
        <f>SUM(O19:Q19)</f>
        <v>77</v>
      </c>
      <c r="O19" s="70">
        <v>50</v>
      </c>
      <c r="P19" s="40">
        <v>22</v>
      </c>
      <c r="Q19" s="71">
        <v>5</v>
      </c>
    </row>
    <row r="20" spans="1:32" x14ac:dyDescent="0.3">
      <c r="A20" s="67" t="s">
        <v>30</v>
      </c>
      <c r="B20" s="112">
        <f>SUM(C20:E20)</f>
        <v>90</v>
      </c>
      <c r="C20" s="72">
        <f>I20+O20</f>
        <v>60</v>
      </c>
      <c r="D20" s="30">
        <f t="shared" si="8"/>
        <v>20</v>
      </c>
      <c r="E20" s="73">
        <f t="shared" si="8"/>
        <v>10</v>
      </c>
      <c r="F20" s="28"/>
      <c r="G20" s="67" t="s">
        <v>30</v>
      </c>
      <c r="H20" s="112">
        <f>SUM(I20:K20)</f>
        <v>28</v>
      </c>
      <c r="I20" s="72">
        <v>22</v>
      </c>
      <c r="J20" s="30">
        <v>1</v>
      </c>
      <c r="K20" s="73">
        <v>5</v>
      </c>
      <c r="L20" s="28"/>
      <c r="M20" s="67" t="s">
        <v>30</v>
      </c>
      <c r="N20" s="97">
        <f>SUM(O20:Q20)</f>
        <v>62</v>
      </c>
      <c r="O20" s="72">
        <v>38</v>
      </c>
      <c r="P20" s="30">
        <v>19</v>
      </c>
      <c r="Q20" s="73">
        <v>5</v>
      </c>
    </row>
    <row r="21" spans="1:32" x14ac:dyDescent="0.3">
      <c r="A21" s="67"/>
      <c r="B21" s="112"/>
      <c r="C21" s="72"/>
      <c r="D21" s="30"/>
      <c r="E21" s="73"/>
      <c r="F21" s="28"/>
      <c r="G21" s="67"/>
      <c r="H21" s="112"/>
      <c r="I21" s="72"/>
      <c r="J21" s="30"/>
      <c r="K21" s="73"/>
      <c r="L21" s="28"/>
      <c r="M21" s="67"/>
      <c r="N21" s="97"/>
      <c r="O21" s="72"/>
      <c r="P21" s="30"/>
      <c r="Q21" s="73"/>
    </row>
    <row r="22" spans="1:32" x14ac:dyDescent="0.3">
      <c r="A22" s="67" t="s">
        <v>1</v>
      </c>
      <c r="B22" s="112">
        <f>SUM(C22:E22)</f>
        <v>59</v>
      </c>
      <c r="C22" s="72">
        <f>I22+O22</f>
        <v>39</v>
      </c>
      <c r="D22" s="30">
        <f t="shared" si="8"/>
        <v>14</v>
      </c>
      <c r="E22" s="73">
        <f t="shared" si="8"/>
        <v>6</v>
      </c>
      <c r="F22" s="28"/>
      <c r="G22" s="67" t="s">
        <v>1</v>
      </c>
      <c r="H22" s="112">
        <f>SUM(I22:K22)</f>
        <v>21</v>
      </c>
      <c r="I22" s="72">
        <v>17</v>
      </c>
      <c r="J22" s="30">
        <v>2</v>
      </c>
      <c r="K22" s="73">
        <v>2</v>
      </c>
      <c r="L22" s="28"/>
      <c r="M22" s="67" t="s">
        <v>1</v>
      </c>
      <c r="N22" s="97">
        <f>SUM(O22:Q22)</f>
        <v>38</v>
      </c>
      <c r="O22" s="72">
        <v>22</v>
      </c>
      <c r="P22" s="30">
        <v>12</v>
      </c>
      <c r="Q22" s="73">
        <v>4</v>
      </c>
    </row>
    <row r="23" spans="1:32" x14ac:dyDescent="0.3">
      <c r="A23" s="67" t="s">
        <v>6</v>
      </c>
      <c r="B23" s="112">
        <f>SUM(C23:E23)</f>
        <v>49</v>
      </c>
      <c r="C23" s="72">
        <f>I23+O23</f>
        <v>34</v>
      </c>
      <c r="D23" s="30">
        <f t="shared" si="8"/>
        <v>10</v>
      </c>
      <c r="E23" s="73">
        <f t="shared" si="8"/>
        <v>5</v>
      </c>
      <c r="F23" s="28"/>
      <c r="G23" s="67" t="s">
        <v>6</v>
      </c>
      <c r="H23" s="112">
        <f>SUM(I23:K23)</f>
        <v>15</v>
      </c>
      <c r="I23" s="72">
        <v>11</v>
      </c>
      <c r="J23" s="30"/>
      <c r="K23" s="73">
        <v>4</v>
      </c>
      <c r="L23" s="28"/>
      <c r="M23" s="67" t="s">
        <v>6</v>
      </c>
      <c r="N23" s="97">
        <f>SUM(O23:Q23)</f>
        <v>34</v>
      </c>
      <c r="O23" s="72">
        <v>23</v>
      </c>
      <c r="P23" s="30">
        <v>10</v>
      </c>
      <c r="Q23" s="73">
        <v>1</v>
      </c>
    </row>
    <row r="24" spans="1:32" x14ac:dyDescent="0.3">
      <c r="A24" s="67" t="s">
        <v>47</v>
      </c>
      <c r="B24" s="112">
        <f>SUM(C24:E24)</f>
        <v>7</v>
      </c>
      <c r="C24" s="72">
        <f>I24+O24</f>
        <v>7</v>
      </c>
      <c r="D24" s="30">
        <f t="shared" si="8"/>
        <v>0</v>
      </c>
      <c r="E24" s="73">
        <f t="shared" si="8"/>
        <v>0</v>
      </c>
      <c r="F24" s="28"/>
      <c r="G24" s="67" t="s">
        <v>47</v>
      </c>
      <c r="H24" s="112">
        <f>SUM(I24:K24)</f>
        <v>2</v>
      </c>
      <c r="I24" s="72">
        <v>2</v>
      </c>
      <c r="J24" s="30"/>
      <c r="K24" s="73"/>
      <c r="L24" s="28"/>
      <c r="M24" s="67" t="s">
        <v>47</v>
      </c>
      <c r="N24" s="97">
        <f>SUM(O24:Q24)</f>
        <v>5</v>
      </c>
      <c r="O24" s="72">
        <v>5</v>
      </c>
      <c r="P24" s="30"/>
      <c r="Q24" s="73"/>
    </row>
    <row r="25" spans="1:32" x14ac:dyDescent="0.3">
      <c r="A25" s="67"/>
      <c r="B25" s="96"/>
      <c r="C25" s="48"/>
      <c r="D25" s="18"/>
      <c r="E25" s="49"/>
      <c r="F25" s="19"/>
      <c r="G25" s="67"/>
      <c r="H25" s="96"/>
      <c r="I25" s="48"/>
      <c r="J25" s="18"/>
      <c r="K25" s="49"/>
      <c r="L25" s="26"/>
      <c r="M25" s="67"/>
      <c r="N25" s="96"/>
      <c r="O25" s="48"/>
      <c r="P25" s="18"/>
      <c r="Q25" s="49"/>
    </row>
    <row r="26" spans="1:32" x14ac:dyDescent="0.3">
      <c r="A26" s="68" t="s">
        <v>31</v>
      </c>
      <c r="B26" s="111">
        <f>B20/B19</f>
        <v>0.77586206896551724</v>
      </c>
      <c r="C26" s="50">
        <f>C20/C19</f>
        <v>0.7407407407407407</v>
      </c>
      <c r="D26" s="31">
        <f>D20/D19</f>
        <v>0.83333333333333337</v>
      </c>
      <c r="E26" s="32">
        <f>E20/E19</f>
        <v>0.90909090909090906</v>
      </c>
      <c r="F26" s="19"/>
      <c r="G26" s="68" t="s">
        <v>31</v>
      </c>
      <c r="H26" s="111">
        <f>H20/H19</f>
        <v>0.71794871794871795</v>
      </c>
      <c r="I26" s="50">
        <f>I20/I19</f>
        <v>0.70967741935483875</v>
      </c>
      <c r="J26" s="31">
        <f>J20/J19</f>
        <v>0.5</v>
      </c>
      <c r="K26" s="32">
        <f>K20/K19</f>
        <v>0.83333333333333337</v>
      </c>
      <c r="L26" s="26"/>
      <c r="M26" s="68" t="s">
        <v>31</v>
      </c>
      <c r="N26" s="95">
        <f>N20/N19</f>
        <v>0.80519480519480524</v>
      </c>
      <c r="O26" s="74">
        <f>O20/O19</f>
        <v>0.76</v>
      </c>
      <c r="P26" s="41">
        <f>P20/P19</f>
        <v>0.86363636363636365</v>
      </c>
      <c r="Q26" s="42">
        <f>Q20/Q19</f>
        <v>1</v>
      </c>
    </row>
    <row r="27" spans="1:32" x14ac:dyDescent="0.3">
      <c r="A27" s="67"/>
      <c r="B27" s="96"/>
      <c r="C27" s="48"/>
      <c r="D27" s="18"/>
      <c r="E27" s="49"/>
      <c r="F27" s="19"/>
      <c r="G27" s="67"/>
      <c r="H27" s="96"/>
      <c r="I27" s="48"/>
      <c r="J27" s="18"/>
      <c r="K27" s="49"/>
      <c r="L27" s="26"/>
      <c r="M27" s="67"/>
      <c r="N27" s="96"/>
      <c r="O27" s="48"/>
      <c r="P27" s="18"/>
      <c r="Q27" s="49"/>
    </row>
    <row r="28" spans="1:32" x14ac:dyDescent="0.3">
      <c r="A28" s="67" t="s">
        <v>46</v>
      </c>
      <c r="B28" s="98">
        <f>B22/B19</f>
        <v>0.50862068965517238</v>
      </c>
      <c r="C28" s="75">
        <f>C22/C19</f>
        <v>0.48148148148148145</v>
      </c>
      <c r="D28" s="34">
        <f>D22/D19</f>
        <v>0.58333333333333337</v>
      </c>
      <c r="E28" s="76">
        <f>E22/E19</f>
        <v>0.54545454545454541</v>
      </c>
      <c r="F28" s="28"/>
      <c r="G28" s="67" t="s">
        <v>46</v>
      </c>
      <c r="H28" s="98">
        <f>H22/H19</f>
        <v>0.53846153846153844</v>
      </c>
      <c r="I28" s="75">
        <f>I22/I19</f>
        <v>0.54838709677419351</v>
      </c>
      <c r="J28" s="34">
        <f>J22/J19</f>
        <v>1</v>
      </c>
      <c r="K28" s="76">
        <f>IF($K$19="","",K22/$K$19)</f>
        <v>0.33333333333333331</v>
      </c>
      <c r="L28" s="28"/>
      <c r="M28" s="67" t="s">
        <v>46</v>
      </c>
      <c r="N28" s="98">
        <f>N22/N19</f>
        <v>0.4935064935064935</v>
      </c>
      <c r="O28" s="75">
        <f>O22/O19</f>
        <v>0.44</v>
      </c>
      <c r="P28" s="34">
        <f>P22/P19</f>
        <v>0.54545454545454541</v>
      </c>
      <c r="Q28" s="76">
        <f>Q22/Q19</f>
        <v>0.8</v>
      </c>
    </row>
    <row r="29" spans="1:32" x14ac:dyDescent="0.3">
      <c r="A29" s="67" t="s">
        <v>44</v>
      </c>
      <c r="B29" s="98">
        <f t="shared" ref="B29:E30" si="9">B23/B$19</f>
        <v>0.42241379310344829</v>
      </c>
      <c r="C29" s="75">
        <f t="shared" si="9"/>
        <v>0.41975308641975306</v>
      </c>
      <c r="D29" s="34">
        <f t="shared" si="9"/>
        <v>0.41666666666666669</v>
      </c>
      <c r="E29" s="76">
        <f t="shared" si="9"/>
        <v>0.45454545454545453</v>
      </c>
      <c r="F29" s="28"/>
      <c r="G29" s="67" t="s">
        <v>44</v>
      </c>
      <c r="H29" s="98">
        <f t="shared" ref="H29:J30" si="10">H23/H$19</f>
        <v>0.38461538461538464</v>
      </c>
      <c r="I29" s="75">
        <f t="shared" si="10"/>
        <v>0.35483870967741937</v>
      </c>
      <c r="J29" s="34">
        <f t="shared" si="10"/>
        <v>0</v>
      </c>
      <c r="K29" s="76">
        <f>IF($K$19="","",K23/$K$19)</f>
        <v>0.66666666666666663</v>
      </c>
      <c r="L29" s="28"/>
      <c r="M29" s="67" t="s">
        <v>44</v>
      </c>
      <c r="N29" s="98">
        <f t="shared" ref="N29:Q30" si="11">N23/N$19</f>
        <v>0.44155844155844154</v>
      </c>
      <c r="O29" s="75">
        <f t="shared" si="11"/>
        <v>0.46</v>
      </c>
      <c r="P29" s="34">
        <f t="shared" si="11"/>
        <v>0.45454545454545453</v>
      </c>
      <c r="Q29" s="76">
        <f t="shared" si="11"/>
        <v>0.2</v>
      </c>
    </row>
    <row r="30" spans="1:32" x14ac:dyDescent="0.3">
      <c r="A30" s="67" t="s">
        <v>45</v>
      </c>
      <c r="B30" s="98">
        <f t="shared" si="9"/>
        <v>6.0344827586206899E-2</v>
      </c>
      <c r="C30" s="75">
        <f t="shared" si="9"/>
        <v>8.6419753086419748E-2</v>
      </c>
      <c r="D30" s="34">
        <f t="shared" si="9"/>
        <v>0</v>
      </c>
      <c r="E30" s="76">
        <f t="shared" si="9"/>
        <v>0</v>
      </c>
      <c r="F30" s="28"/>
      <c r="G30" s="67" t="s">
        <v>45</v>
      </c>
      <c r="H30" s="98">
        <f t="shared" si="10"/>
        <v>5.128205128205128E-2</v>
      </c>
      <c r="I30" s="75">
        <f t="shared" si="10"/>
        <v>6.4516129032258063E-2</v>
      </c>
      <c r="J30" s="34">
        <f t="shared" si="10"/>
        <v>0</v>
      </c>
      <c r="K30" s="76">
        <f>IF($K$19="","",K24/$K$19)</f>
        <v>0</v>
      </c>
      <c r="L30" s="28"/>
      <c r="M30" s="67" t="s">
        <v>45</v>
      </c>
      <c r="N30" s="98">
        <f t="shared" si="11"/>
        <v>6.4935064935064929E-2</v>
      </c>
      <c r="O30" s="75">
        <f t="shared" si="11"/>
        <v>0.1</v>
      </c>
      <c r="P30" s="34">
        <f t="shared" si="11"/>
        <v>0</v>
      </c>
      <c r="Q30" s="76">
        <f t="shared" si="11"/>
        <v>0</v>
      </c>
    </row>
    <row r="31" spans="1:32" x14ac:dyDescent="0.3">
      <c r="A31" s="67"/>
      <c r="B31" s="99">
        <f>SUM(C31:E31)</f>
        <v>695</v>
      </c>
      <c r="C31" s="55">
        <f>SUM(I31,O31)</f>
        <v>494</v>
      </c>
      <c r="D31" s="17">
        <f>SUM(J31,P31)</f>
        <v>144</v>
      </c>
      <c r="E31" s="56">
        <f>SUM(K31,Q31)</f>
        <v>57</v>
      </c>
      <c r="F31" s="13"/>
      <c r="G31" s="69"/>
      <c r="H31" s="99">
        <f>SUM(I31:K31)</f>
        <v>245</v>
      </c>
      <c r="I31" s="55">
        <v>203</v>
      </c>
      <c r="J31" s="17">
        <v>16</v>
      </c>
      <c r="K31" s="56">
        <v>26</v>
      </c>
      <c r="L31" s="13"/>
      <c r="M31" s="69"/>
      <c r="N31" s="99">
        <f>SUM(O31:Q31)</f>
        <v>450</v>
      </c>
      <c r="O31" s="55">
        <v>291</v>
      </c>
      <c r="P31" s="17">
        <v>128</v>
      </c>
      <c r="Q31" s="56">
        <v>31</v>
      </c>
    </row>
    <row r="32" spans="1:32" x14ac:dyDescent="0.3">
      <c r="A32" s="68" t="s">
        <v>43</v>
      </c>
      <c r="B32" s="100">
        <f>B31/B19</f>
        <v>5.9913793103448274</v>
      </c>
      <c r="C32" s="83">
        <f t="shared" ref="C32:Q32" si="12">C31/C19</f>
        <v>6.0987654320987659</v>
      </c>
      <c r="D32" s="84">
        <f t="shared" si="12"/>
        <v>6</v>
      </c>
      <c r="E32" s="85">
        <f t="shared" si="12"/>
        <v>5.1818181818181817</v>
      </c>
      <c r="F32" s="28"/>
      <c r="G32" s="68" t="s">
        <v>43</v>
      </c>
      <c r="H32" s="100">
        <f t="shared" si="12"/>
        <v>6.2820512820512819</v>
      </c>
      <c r="I32" s="83">
        <f t="shared" si="12"/>
        <v>6.5483870967741939</v>
      </c>
      <c r="J32" s="84">
        <f t="shared" si="12"/>
        <v>8</v>
      </c>
      <c r="K32" s="85">
        <f t="shared" si="12"/>
        <v>4.333333333333333</v>
      </c>
      <c r="L32" s="28"/>
      <c r="M32" s="68" t="s">
        <v>43</v>
      </c>
      <c r="N32" s="100">
        <f t="shared" si="12"/>
        <v>5.8441558441558445</v>
      </c>
      <c r="O32" s="83">
        <f t="shared" si="12"/>
        <v>5.82</v>
      </c>
      <c r="P32" s="84">
        <f t="shared" si="12"/>
        <v>5.8181818181818183</v>
      </c>
      <c r="Q32" s="85">
        <f t="shared" si="12"/>
        <v>6.2</v>
      </c>
    </row>
    <row r="33" spans="1:32" x14ac:dyDescent="0.3">
      <c r="A33" s="15"/>
      <c r="B33" s="86"/>
      <c r="C33" s="18"/>
      <c r="D33" s="18"/>
      <c r="E33" s="18"/>
      <c r="F33" s="19"/>
      <c r="G33" s="15"/>
      <c r="H33" s="86"/>
      <c r="I33" s="18"/>
      <c r="J33" s="18"/>
      <c r="K33" s="18"/>
      <c r="L33" s="26"/>
      <c r="M33" s="16"/>
      <c r="N33" s="101"/>
      <c r="O33" s="43"/>
      <c r="P33" s="43"/>
      <c r="Q33" s="43"/>
    </row>
    <row r="34" spans="1:32" ht="15" x14ac:dyDescent="0.25">
      <c r="A34" s="400" t="s">
        <v>23</v>
      </c>
      <c r="B34" s="400"/>
      <c r="C34" s="400"/>
      <c r="D34" s="400"/>
      <c r="E34" s="400"/>
      <c r="F34" s="14"/>
      <c r="G34" s="400" t="s">
        <v>23</v>
      </c>
      <c r="H34" s="400"/>
      <c r="I34" s="400"/>
      <c r="J34" s="400"/>
      <c r="K34" s="400"/>
      <c r="L34" s="14"/>
      <c r="M34" s="400" t="s">
        <v>23</v>
      </c>
      <c r="N34" s="400"/>
      <c r="O34" s="400"/>
      <c r="P34" s="400"/>
      <c r="Q34" s="400"/>
    </row>
    <row r="35" spans="1:32" x14ac:dyDescent="0.3">
      <c r="A35" s="22"/>
      <c r="B35" s="86"/>
      <c r="C35" s="18"/>
      <c r="D35" s="18"/>
      <c r="E35" s="18"/>
      <c r="F35" s="19"/>
      <c r="G35" s="22"/>
      <c r="H35" s="86"/>
      <c r="I35" s="18"/>
      <c r="J35" s="18"/>
      <c r="K35" s="18"/>
      <c r="L35" s="26"/>
      <c r="M35" s="134"/>
      <c r="N35" s="86"/>
      <c r="O35" s="18"/>
      <c r="P35" s="18"/>
      <c r="Q35" s="18"/>
    </row>
    <row r="36" spans="1:32" s="150" customFormat="1" x14ac:dyDescent="0.3">
      <c r="A36" s="145" t="s">
        <v>28</v>
      </c>
      <c r="B36" s="146">
        <f>B38/B4</f>
        <v>0.2</v>
      </c>
      <c r="C36" s="147">
        <f>C38/C4</f>
        <v>0.19801980198019803</v>
      </c>
      <c r="D36" s="147">
        <f>D38/D4</f>
        <v>0.14285714285714285</v>
      </c>
      <c r="E36" s="148">
        <f>E38/E4</f>
        <v>0.3125</v>
      </c>
      <c r="F36" s="149"/>
      <c r="G36" s="145" t="s">
        <v>28</v>
      </c>
      <c r="H36" s="146">
        <f>H38/H4</f>
        <v>0.1875</v>
      </c>
      <c r="I36" s="147">
        <f>I38/I4</f>
        <v>0.18421052631578946</v>
      </c>
      <c r="J36" s="147">
        <f>J38/J4</f>
        <v>0.33333333333333331</v>
      </c>
      <c r="K36" s="148">
        <f>K38/K4</f>
        <v>0.14285714285714285</v>
      </c>
      <c r="L36" s="149"/>
      <c r="M36" s="145" t="s">
        <v>28</v>
      </c>
      <c r="N36" s="146">
        <f>N38/N4</f>
        <v>0.20618556701030927</v>
      </c>
      <c r="O36" s="147">
        <f>O38/O4</f>
        <v>0.20634920634920634</v>
      </c>
      <c r="P36" s="147">
        <f>P38/P4</f>
        <v>0.12</v>
      </c>
      <c r="Q36" s="148">
        <f>Q38/Q4</f>
        <v>0.44444444444444442</v>
      </c>
      <c r="S36" s="151"/>
      <c r="W36" s="24"/>
      <c r="X36" s="172"/>
      <c r="Y36" s="172"/>
      <c r="Z36" s="172"/>
      <c r="AA36" s="172"/>
      <c r="AB36" s="172"/>
      <c r="AC36" s="172"/>
      <c r="AD36" s="172"/>
      <c r="AE36" s="172"/>
      <c r="AF36" s="172"/>
    </row>
    <row r="37" spans="1:32" x14ac:dyDescent="0.3">
      <c r="A37" s="78"/>
      <c r="B37" s="103"/>
      <c r="C37" s="18"/>
      <c r="D37" s="18"/>
      <c r="E37" s="49"/>
      <c r="F37" s="19"/>
      <c r="G37" s="77"/>
      <c r="H37" s="103"/>
      <c r="I37" s="18"/>
      <c r="J37" s="18"/>
      <c r="K37" s="49"/>
      <c r="L37" s="26"/>
      <c r="M37" s="77"/>
      <c r="N37" s="103"/>
      <c r="O37" s="18"/>
      <c r="P37" s="18"/>
      <c r="Q37" s="49"/>
      <c r="X37" s="175"/>
      <c r="Y37" s="175"/>
      <c r="Z37" s="175"/>
      <c r="AA37" s="175"/>
      <c r="AB37" s="175"/>
      <c r="AC37" s="175"/>
      <c r="AD37" s="175"/>
      <c r="AE37" s="175"/>
      <c r="AF37" s="175"/>
    </row>
    <row r="38" spans="1:32" x14ac:dyDescent="0.3">
      <c r="A38" s="78" t="s">
        <v>29</v>
      </c>
      <c r="B38" s="104">
        <f>SUM(C38:E38)</f>
        <v>29</v>
      </c>
      <c r="C38" s="35">
        <f>I38+O38</f>
        <v>20</v>
      </c>
      <c r="D38" s="35">
        <f t="shared" ref="D38:E44" si="13">J38+P38</f>
        <v>4</v>
      </c>
      <c r="E38" s="79">
        <f t="shared" si="13"/>
        <v>5</v>
      </c>
      <c r="F38" s="14"/>
      <c r="G38" s="78" t="s">
        <v>29</v>
      </c>
      <c r="H38" s="104">
        <f>SUM(I38:K38)</f>
        <v>9</v>
      </c>
      <c r="I38" s="35">
        <v>7</v>
      </c>
      <c r="J38" s="35">
        <v>1</v>
      </c>
      <c r="K38" s="79">
        <v>1</v>
      </c>
      <c r="L38" s="14"/>
      <c r="M38" s="78" t="s">
        <v>29</v>
      </c>
      <c r="N38" s="104">
        <f>SUM(O38:Q38)</f>
        <v>20</v>
      </c>
      <c r="O38" s="35">
        <v>13</v>
      </c>
      <c r="P38" s="35">
        <v>3</v>
      </c>
      <c r="Q38" s="79">
        <v>4</v>
      </c>
    </row>
    <row r="39" spans="1:32" x14ac:dyDescent="0.3">
      <c r="A39" s="78" t="s">
        <v>30</v>
      </c>
      <c r="B39" s="104">
        <f t="shared" ref="B39:B44" si="14">SUM(C39:E39)</f>
        <v>16</v>
      </c>
      <c r="C39" s="35">
        <f t="shared" ref="C39:C44" si="15">I39+O39</f>
        <v>11</v>
      </c>
      <c r="D39" s="35">
        <f t="shared" si="13"/>
        <v>1</v>
      </c>
      <c r="E39" s="79">
        <f t="shared" si="13"/>
        <v>4</v>
      </c>
      <c r="F39" s="14"/>
      <c r="G39" s="78" t="s">
        <v>30</v>
      </c>
      <c r="H39" s="104">
        <f t="shared" ref="H39:H44" si="16">SUM(I39:K39)</f>
        <v>6</v>
      </c>
      <c r="I39" s="35">
        <v>5</v>
      </c>
      <c r="J39" s="35"/>
      <c r="K39" s="79">
        <v>1</v>
      </c>
      <c r="L39" s="14"/>
      <c r="M39" s="78" t="s">
        <v>30</v>
      </c>
      <c r="N39" s="104">
        <f t="shared" ref="N39:N44" si="17">SUM(O39:Q39)</f>
        <v>10</v>
      </c>
      <c r="O39" s="35">
        <v>6</v>
      </c>
      <c r="P39" s="35">
        <v>1</v>
      </c>
      <c r="Q39" s="79">
        <v>3</v>
      </c>
    </row>
    <row r="40" spans="1:32" x14ac:dyDescent="0.3">
      <c r="A40" s="78"/>
      <c r="B40" s="104"/>
      <c r="C40" s="35"/>
      <c r="D40" s="35"/>
      <c r="E40" s="79"/>
      <c r="F40" s="14"/>
      <c r="G40" s="78"/>
      <c r="H40" s="104"/>
      <c r="I40" s="35"/>
      <c r="J40" s="35"/>
      <c r="K40" s="79"/>
      <c r="L40" s="14"/>
      <c r="M40" s="78"/>
      <c r="N40" s="104"/>
      <c r="O40" s="35"/>
      <c r="P40" s="35"/>
      <c r="Q40" s="79"/>
    </row>
    <row r="41" spans="1:32" x14ac:dyDescent="0.3">
      <c r="A41" s="78" t="s">
        <v>50</v>
      </c>
      <c r="B41" s="104">
        <f t="shared" si="14"/>
        <v>80</v>
      </c>
      <c r="C41" s="35">
        <f t="shared" si="15"/>
        <v>54</v>
      </c>
      <c r="D41" s="35">
        <f t="shared" si="13"/>
        <v>9</v>
      </c>
      <c r="E41" s="79">
        <f t="shared" si="13"/>
        <v>17</v>
      </c>
      <c r="F41" s="14"/>
      <c r="G41" s="78" t="s">
        <v>50</v>
      </c>
      <c r="H41" s="104">
        <f t="shared" si="16"/>
        <v>24</v>
      </c>
      <c r="I41" s="35">
        <v>18</v>
      </c>
      <c r="J41" s="35">
        <v>2</v>
      </c>
      <c r="K41" s="79">
        <v>4</v>
      </c>
      <c r="L41" s="14"/>
      <c r="M41" s="78" t="s">
        <v>50</v>
      </c>
      <c r="N41" s="104">
        <f t="shared" si="17"/>
        <v>56</v>
      </c>
      <c r="O41" s="35">
        <v>36</v>
      </c>
      <c r="P41" s="35">
        <v>7</v>
      </c>
      <c r="Q41" s="79">
        <v>13</v>
      </c>
    </row>
    <row r="42" spans="1:32" x14ac:dyDescent="0.3">
      <c r="A42" s="78"/>
      <c r="B42" s="104"/>
      <c r="C42" s="35"/>
      <c r="D42" s="35"/>
      <c r="E42" s="79"/>
      <c r="F42" s="14"/>
      <c r="G42" s="78"/>
      <c r="H42" s="104"/>
      <c r="I42" s="35"/>
      <c r="J42" s="35"/>
      <c r="K42" s="79"/>
      <c r="L42" s="14"/>
      <c r="M42" s="78"/>
      <c r="N42" s="104"/>
      <c r="O42" s="35"/>
      <c r="P42" s="35"/>
      <c r="Q42" s="79"/>
    </row>
    <row r="43" spans="1:32" x14ac:dyDescent="0.3">
      <c r="A43" s="78" t="s">
        <v>6</v>
      </c>
      <c r="B43" s="104">
        <f t="shared" si="14"/>
        <v>13</v>
      </c>
      <c r="C43" s="35">
        <f t="shared" si="15"/>
        <v>9</v>
      </c>
      <c r="D43" s="35">
        <f t="shared" si="13"/>
        <v>2</v>
      </c>
      <c r="E43" s="79">
        <f t="shared" si="13"/>
        <v>2</v>
      </c>
      <c r="F43" s="14"/>
      <c r="G43" s="78" t="s">
        <v>6</v>
      </c>
      <c r="H43" s="104">
        <f t="shared" si="16"/>
        <v>3</v>
      </c>
      <c r="I43" s="35">
        <v>2</v>
      </c>
      <c r="J43" s="35"/>
      <c r="K43" s="79">
        <v>1</v>
      </c>
      <c r="L43" s="14"/>
      <c r="M43" s="78" t="s">
        <v>6</v>
      </c>
      <c r="N43" s="104">
        <f t="shared" si="17"/>
        <v>10</v>
      </c>
      <c r="O43" s="35">
        <v>7</v>
      </c>
      <c r="P43" s="35">
        <v>2</v>
      </c>
      <c r="Q43" s="79">
        <v>1</v>
      </c>
    </row>
    <row r="44" spans="1:32" x14ac:dyDescent="0.3">
      <c r="A44" s="78" t="s">
        <v>47</v>
      </c>
      <c r="B44" s="104">
        <f t="shared" si="14"/>
        <v>15</v>
      </c>
      <c r="C44" s="35">
        <f t="shared" si="15"/>
        <v>10</v>
      </c>
      <c r="D44" s="35">
        <f t="shared" si="13"/>
        <v>2</v>
      </c>
      <c r="E44" s="79">
        <f t="shared" si="13"/>
        <v>3</v>
      </c>
      <c r="F44" s="14"/>
      <c r="G44" s="78" t="s">
        <v>47</v>
      </c>
      <c r="H44" s="104">
        <f t="shared" si="16"/>
        <v>5</v>
      </c>
      <c r="I44" s="35">
        <v>4</v>
      </c>
      <c r="J44" s="35">
        <v>1</v>
      </c>
      <c r="K44" s="79"/>
      <c r="L44" s="14"/>
      <c r="M44" s="78" t="s">
        <v>47</v>
      </c>
      <c r="N44" s="104">
        <f t="shared" si="17"/>
        <v>10</v>
      </c>
      <c r="O44" s="35">
        <v>6</v>
      </c>
      <c r="P44" s="35">
        <v>1</v>
      </c>
      <c r="Q44" s="79">
        <v>3</v>
      </c>
    </row>
    <row r="45" spans="1:32" x14ac:dyDescent="0.3">
      <c r="A45" s="78"/>
      <c r="B45" s="103"/>
      <c r="C45" s="18"/>
      <c r="D45" s="18"/>
      <c r="E45" s="49"/>
      <c r="F45" s="19"/>
      <c r="G45" s="77"/>
      <c r="H45" s="103"/>
      <c r="I45" s="18"/>
      <c r="J45" s="18"/>
      <c r="K45" s="49"/>
      <c r="L45" s="26"/>
      <c r="M45" s="77"/>
      <c r="N45" s="103"/>
      <c r="O45" s="18"/>
      <c r="P45" s="18"/>
      <c r="Q45" s="49"/>
    </row>
    <row r="46" spans="1:32" x14ac:dyDescent="0.3">
      <c r="A46" s="29" t="s">
        <v>31</v>
      </c>
      <c r="B46" s="102">
        <f>B39/B38</f>
        <v>0.55172413793103448</v>
      </c>
      <c r="C46" s="31">
        <f>C39/C38</f>
        <v>0.55000000000000004</v>
      </c>
      <c r="D46" s="31">
        <f>D39/D38</f>
        <v>0.25</v>
      </c>
      <c r="E46" s="32">
        <f>E39/E38</f>
        <v>0.8</v>
      </c>
      <c r="F46" s="134"/>
      <c r="G46" s="29" t="s">
        <v>31</v>
      </c>
      <c r="H46" s="102">
        <f>H39/H38</f>
        <v>0.66666666666666663</v>
      </c>
      <c r="I46" s="31">
        <f>I39/I38</f>
        <v>0.7142857142857143</v>
      </c>
      <c r="J46" s="31">
        <f>J39/J38</f>
        <v>0</v>
      </c>
      <c r="K46" s="32">
        <f>K39/K38</f>
        <v>1</v>
      </c>
      <c r="L46" s="27"/>
      <c r="M46" s="29" t="s">
        <v>31</v>
      </c>
      <c r="N46" s="102">
        <f>N39/N38</f>
        <v>0.5</v>
      </c>
      <c r="O46" s="31">
        <f>O39/O38</f>
        <v>0.46153846153846156</v>
      </c>
      <c r="P46" s="31">
        <f>P39/P38</f>
        <v>0.33333333333333331</v>
      </c>
      <c r="Q46" s="32">
        <f>Q39/Q38</f>
        <v>0.75</v>
      </c>
    </row>
    <row r="47" spans="1:32" x14ac:dyDescent="0.3">
      <c r="A47" s="78"/>
      <c r="B47" s="103"/>
      <c r="C47" s="18"/>
      <c r="D47" s="18"/>
      <c r="E47" s="49"/>
      <c r="F47" s="134"/>
      <c r="G47" s="77"/>
      <c r="H47" s="103"/>
      <c r="I47" s="18"/>
      <c r="J47" s="18"/>
      <c r="K47" s="49"/>
      <c r="L47" s="27"/>
      <c r="M47" s="77"/>
      <c r="N47" s="103"/>
      <c r="O47" s="18"/>
      <c r="P47" s="18"/>
      <c r="Q47" s="49"/>
    </row>
    <row r="48" spans="1:32" x14ac:dyDescent="0.3">
      <c r="A48" s="78" t="s">
        <v>48</v>
      </c>
      <c r="B48" s="105">
        <f>B41/B38</f>
        <v>2.7586206896551726</v>
      </c>
      <c r="C48" s="36">
        <f t="shared" ref="C48:Q48" si="18">C41/C38</f>
        <v>2.7</v>
      </c>
      <c r="D48" s="36">
        <f t="shared" si="18"/>
        <v>2.25</v>
      </c>
      <c r="E48" s="82">
        <f t="shared" si="18"/>
        <v>3.4</v>
      </c>
      <c r="F48" s="19"/>
      <c r="G48" s="78" t="s">
        <v>48</v>
      </c>
      <c r="H48" s="105">
        <f t="shared" si="18"/>
        <v>2.6666666666666665</v>
      </c>
      <c r="I48" s="36">
        <f t="shared" si="18"/>
        <v>2.5714285714285716</v>
      </c>
      <c r="J48" s="36">
        <f>IF($J$38="","",J41/$J$38)</f>
        <v>2</v>
      </c>
      <c r="K48" s="177">
        <f t="shared" si="18"/>
        <v>4</v>
      </c>
      <c r="L48" s="14"/>
      <c r="M48" s="78" t="s">
        <v>48</v>
      </c>
      <c r="N48" s="105">
        <f t="shared" si="18"/>
        <v>2.8</v>
      </c>
      <c r="O48" s="36">
        <f t="shared" si="18"/>
        <v>2.7692307692307692</v>
      </c>
      <c r="P48" s="36">
        <f t="shared" si="18"/>
        <v>2.3333333333333335</v>
      </c>
      <c r="Q48" s="82">
        <f t="shared" si="18"/>
        <v>3.25</v>
      </c>
    </row>
    <row r="49" spans="1:17" x14ac:dyDescent="0.3">
      <c r="A49" s="78"/>
      <c r="B49" s="104"/>
      <c r="C49" s="35"/>
      <c r="D49" s="35"/>
      <c r="E49" s="79"/>
      <c r="F49" s="19"/>
      <c r="G49" s="78"/>
      <c r="H49" s="104"/>
      <c r="I49" s="35"/>
      <c r="J49" s="35"/>
      <c r="K49" s="79"/>
      <c r="L49" s="14"/>
      <c r="M49" s="78"/>
      <c r="N49" s="104"/>
      <c r="O49" s="35"/>
      <c r="P49" s="35"/>
      <c r="Q49" s="79"/>
    </row>
    <row r="50" spans="1:17" x14ac:dyDescent="0.3">
      <c r="A50" s="78" t="s">
        <v>51</v>
      </c>
      <c r="B50" s="106">
        <f t="shared" ref="B50:E51" si="19">B43/B$38</f>
        <v>0.44827586206896552</v>
      </c>
      <c r="C50" s="37">
        <f t="shared" si="19"/>
        <v>0.45</v>
      </c>
      <c r="D50" s="37">
        <f t="shared" si="19"/>
        <v>0.5</v>
      </c>
      <c r="E50" s="80">
        <f t="shared" si="19"/>
        <v>0.4</v>
      </c>
      <c r="F50" s="19"/>
      <c r="G50" s="78" t="s">
        <v>51</v>
      </c>
      <c r="H50" s="106">
        <f t="shared" ref="H50:K51" si="20">H43/H$38</f>
        <v>0.33333333333333331</v>
      </c>
      <c r="I50" s="37">
        <f t="shared" si="20"/>
        <v>0.2857142857142857</v>
      </c>
      <c r="J50" s="37">
        <f>IF($J$38="","",J43/$J$38)</f>
        <v>0</v>
      </c>
      <c r="K50" s="80">
        <f t="shared" si="20"/>
        <v>1</v>
      </c>
      <c r="L50" s="14"/>
      <c r="M50" s="78" t="s">
        <v>51</v>
      </c>
      <c r="N50" s="106">
        <f t="shared" ref="N50:Q51" si="21">N43/N$38</f>
        <v>0.5</v>
      </c>
      <c r="O50" s="37">
        <f t="shared" si="21"/>
        <v>0.53846153846153844</v>
      </c>
      <c r="P50" s="37">
        <f t="shared" si="21"/>
        <v>0.66666666666666663</v>
      </c>
      <c r="Q50" s="80">
        <f t="shared" si="21"/>
        <v>0.25</v>
      </c>
    </row>
    <row r="51" spans="1:17" x14ac:dyDescent="0.3">
      <c r="A51" s="78" t="s">
        <v>49</v>
      </c>
      <c r="B51" s="106">
        <f t="shared" si="19"/>
        <v>0.51724137931034486</v>
      </c>
      <c r="C51" s="37">
        <f t="shared" si="19"/>
        <v>0.5</v>
      </c>
      <c r="D51" s="37">
        <f t="shared" si="19"/>
        <v>0.5</v>
      </c>
      <c r="E51" s="80">
        <f t="shared" si="19"/>
        <v>0.6</v>
      </c>
      <c r="F51" s="19"/>
      <c r="G51" s="78" t="s">
        <v>49</v>
      </c>
      <c r="H51" s="106">
        <f t="shared" si="20"/>
        <v>0.55555555555555558</v>
      </c>
      <c r="I51" s="37">
        <f t="shared" si="20"/>
        <v>0.5714285714285714</v>
      </c>
      <c r="J51" s="37">
        <f>IF($J$38="","",J44/$J$38)</f>
        <v>1</v>
      </c>
      <c r="K51" s="80">
        <f t="shared" si="20"/>
        <v>0</v>
      </c>
      <c r="L51" s="14"/>
      <c r="M51" s="78" t="s">
        <v>49</v>
      </c>
      <c r="N51" s="106">
        <f t="shared" si="21"/>
        <v>0.5</v>
      </c>
      <c r="O51" s="37">
        <f t="shared" si="21"/>
        <v>0.46153846153846156</v>
      </c>
      <c r="P51" s="37">
        <f t="shared" si="21"/>
        <v>0.33333333333333331</v>
      </c>
      <c r="Q51" s="80">
        <f t="shared" si="21"/>
        <v>0.75</v>
      </c>
    </row>
    <row r="52" spans="1:17" x14ac:dyDescent="0.3">
      <c r="A52" s="81"/>
      <c r="B52" s="107">
        <f>SUM(C52:E52)</f>
        <v>144</v>
      </c>
      <c r="C52" s="17">
        <f>SUM(I52,O52)</f>
        <v>103</v>
      </c>
      <c r="D52" s="17">
        <f>SUM(J52,P52)</f>
        <v>20</v>
      </c>
      <c r="E52" s="56">
        <f>SUM(K52,Q52)</f>
        <v>21</v>
      </c>
      <c r="F52" s="13"/>
      <c r="G52" s="81"/>
      <c r="H52" s="107">
        <f>SUM(I52:K52)</f>
        <v>43</v>
      </c>
      <c r="I52" s="17">
        <v>35</v>
      </c>
      <c r="J52" s="17">
        <v>4</v>
      </c>
      <c r="K52" s="56">
        <v>4</v>
      </c>
      <c r="L52" s="13"/>
      <c r="M52" s="81"/>
      <c r="N52" s="107">
        <f>SUM(O52:Q52)</f>
        <v>101</v>
      </c>
      <c r="O52" s="17">
        <v>68</v>
      </c>
      <c r="P52" s="17">
        <v>16</v>
      </c>
      <c r="Q52" s="56">
        <v>17</v>
      </c>
    </row>
    <row r="53" spans="1:17" x14ac:dyDescent="0.3">
      <c r="A53" s="29" t="s">
        <v>43</v>
      </c>
      <c r="B53" s="108">
        <f>B52/B38</f>
        <v>4.9655172413793105</v>
      </c>
      <c r="C53" s="65">
        <f t="shared" ref="C53:Q53" si="22">C52/C38</f>
        <v>5.15</v>
      </c>
      <c r="D53" s="65">
        <f t="shared" si="22"/>
        <v>5</v>
      </c>
      <c r="E53" s="66">
        <f t="shared" si="22"/>
        <v>4.2</v>
      </c>
      <c r="F53" s="19"/>
      <c r="G53" s="29" t="s">
        <v>43</v>
      </c>
      <c r="H53" s="108">
        <f t="shared" si="22"/>
        <v>4.7777777777777777</v>
      </c>
      <c r="I53" s="65">
        <f t="shared" si="22"/>
        <v>5</v>
      </c>
      <c r="J53" s="65">
        <f t="shared" si="22"/>
        <v>4</v>
      </c>
      <c r="K53" s="66">
        <f t="shared" si="22"/>
        <v>4</v>
      </c>
      <c r="L53" s="14"/>
      <c r="M53" s="29" t="s">
        <v>43</v>
      </c>
      <c r="N53" s="108">
        <f t="shared" si="22"/>
        <v>5.05</v>
      </c>
      <c r="O53" s="65">
        <f>O52/O38</f>
        <v>5.2307692307692308</v>
      </c>
      <c r="P53" s="65">
        <f t="shared" si="22"/>
        <v>5.333333333333333</v>
      </c>
      <c r="Q53" s="66">
        <f t="shared" si="22"/>
        <v>4.25</v>
      </c>
    </row>
  </sheetData>
  <mergeCells count="11">
    <mergeCell ref="W8:AF8"/>
    <mergeCell ref="W1:AE1"/>
    <mergeCell ref="A1:E1"/>
    <mergeCell ref="G1:K1"/>
    <mergeCell ref="M1:Q1"/>
    <mergeCell ref="M15:Q15"/>
    <mergeCell ref="M34:Q34"/>
    <mergeCell ref="G15:K15"/>
    <mergeCell ref="A15:E15"/>
    <mergeCell ref="A34:E34"/>
    <mergeCell ref="G34:K34"/>
  </mergeCells>
  <conditionalFormatting sqref="H13:K13">
    <cfRule type="colorScale" priority="15">
      <colorScale>
        <cfvo type="num" val="2"/>
        <cfvo type="percentile" val="50"/>
        <cfvo type="num" val="9+($H$19/$H$4)"/>
        <color rgb="FF63BE7B"/>
        <color rgb="FFFFEB84"/>
        <color rgb="FFF8696B"/>
      </colorScale>
    </cfRule>
  </conditionalFormatting>
  <conditionalFormatting sqref="H32:K32">
    <cfRule type="colorScale" priority="14">
      <colorScale>
        <cfvo type="num" val="2"/>
        <cfvo type="percentile" val="50"/>
        <cfvo type="num" val="10"/>
        <color rgb="FF63BE7B"/>
        <color rgb="FFFFEB84"/>
        <color rgb="FFF8696B"/>
      </colorScale>
    </cfRule>
  </conditionalFormatting>
  <conditionalFormatting sqref="H53:K53">
    <cfRule type="colorScale" priority="13">
      <colorScale>
        <cfvo type="num" val="2"/>
        <cfvo type="percentile" val="50"/>
        <cfvo type="num" val="9"/>
        <color rgb="FF63BE7B"/>
        <color rgb="FFFFEB84"/>
        <color rgb="FFF8696B"/>
      </colorScale>
    </cfRule>
  </conditionalFormatting>
  <conditionalFormatting sqref="N13:Q13">
    <cfRule type="colorScale" priority="12">
      <colorScale>
        <cfvo type="num" val="2"/>
        <cfvo type="percentile" val="50"/>
        <cfvo type="num" val="8+($N$19/$N$4)"/>
        <color rgb="FF63BE7B"/>
        <color rgb="FFFFEB84"/>
        <color rgb="FFF8696B"/>
      </colorScale>
    </cfRule>
  </conditionalFormatting>
  <conditionalFormatting sqref="N32:Q32">
    <cfRule type="colorScale" priority="11">
      <colorScale>
        <cfvo type="num" val="2"/>
        <cfvo type="percentile" val="50"/>
        <cfvo type="num" val="9"/>
        <color rgb="FF63BE7B"/>
        <color rgb="FFFFEB84"/>
        <color rgb="FFF8696B"/>
      </colorScale>
    </cfRule>
  </conditionalFormatting>
  <conditionalFormatting sqref="N53:Q53">
    <cfRule type="colorScale" priority="10">
      <colorScale>
        <cfvo type="num" val="2"/>
        <cfvo type="percentile" val="50"/>
        <cfvo type="num" val="8"/>
        <color rgb="FF63BE7B"/>
        <color rgb="FFFFEB84"/>
        <color rgb="FFF8696B"/>
      </colorScale>
    </cfRule>
  </conditionalFormatting>
  <conditionalFormatting sqref="B53:E53">
    <cfRule type="colorScale" priority="7">
      <colorScale>
        <cfvo type="num" val="2"/>
        <cfvo type="percentile" val="50"/>
        <cfvo type="num" val="8+($H$4/$B$4)"/>
        <color rgb="FF63BE7B"/>
        <color rgb="FFFFEB84"/>
        <color rgb="FFF8696B"/>
      </colorScale>
    </cfRule>
  </conditionalFormatting>
  <conditionalFormatting sqref="B32:E32">
    <cfRule type="colorScale" priority="6">
      <colorScale>
        <cfvo type="num" val="2"/>
        <cfvo type="percentile" val="50"/>
        <cfvo type="num" val="9+($H$4/$B$4)"/>
        <color rgb="FF63BE7B"/>
        <color rgb="FFFFEB84"/>
        <color rgb="FFF8696B"/>
      </colorScale>
    </cfRule>
  </conditionalFormatting>
  <conditionalFormatting sqref="B13:E13">
    <cfRule type="colorScale" priority="5">
      <colorScale>
        <cfvo type="num" val="2"/>
        <cfvo type="percentile" val="50"/>
        <cfvo type="num" val="9.25"/>
        <color rgb="FF63BE7B"/>
        <color rgb="FFFFEB84"/>
        <color rgb="FFF8696B"/>
      </colorScale>
    </cfRule>
  </conditionalFormatting>
  <conditionalFormatting sqref="X12:AF12">
    <cfRule type="colorScale" priority="2">
      <colorScale>
        <cfvo type="num" val="$AF$12-0.3"/>
        <cfvo type="num" val="$AF$12"/>
        <cfvo type="num" val="$AF$12+0.3"/>
        <color rgb="FFF8696B"/>
        <color rgb="FFFFEB84"/>
        <color rgb="FF63BE7B"/>
      </colorScale>
    </cfRule>
  </conditionalFormatting>
  <conditionalFormatting sqref="X6:AE6">
    <cfRule type="colorScale" priority="1">
      <colorScale>
        <cfvo type="num" val="$AE$6-0.3"/>
        <cfvo type="num" val="$AE$6"/>
        <cfvo type="num" val="$AE$6+0.3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5" r:id="rId4" name="CheckBox2">
          <controlPr defaultSize="0" autoLine="0" r:id="rId5">
            <anchor moveWithCells="1">
              <from>
                <xdr:col>18</xdr:col>
                <xdr:colOff>161925</xdr:colOff>
                <xdr:row>14</xdr:row>
                <xdr:rowOff>123825</xdr:rowOff>
              </from>
              <to>
                <xdr:col>20</xdr:col>
                <xdr:colOff>361950</xdr:colOff>
                <xdr:row>16</xdr:row>
                <xdr:rowOff>0</xdr:rowOff>
              </to>
            </anchor>
          </controlPr>
        </control>
      </mc:Choice>
      <mc:Fallback>
        <control shapeId="2055" r:id="rId4" name="CheckBox2"/>
      </mc:Fallback>
    </mc:AlternateContent>
    <mc:AlternateContent xmlns:mc="http://schemas.openxmlformats.org/markup-compatibility/2006">
      <mc:Choice Requires="x14">
        <control shapeId="2052" r:id="rId6" name="CheckBox1">
          <controlPr defaultSize="0" autoLine="0" r:id="rId7">
            <anchor moveWithCells="1">
              <from>
                <xdr:col>18</xdr:col>
                <xdr:colOff>161925</xdr:colOff>
                <xdr:row>11</xdr:row>
                <xdr:rowOff>123825</xdr:rowOff>
              </from>
              <to>
                <xdr:col>20</xdr:col>
                <xdr:colOff>361950</xdr:colOff>
                <xdr:row>12</xdr:row>
                <xdr:rowOff>190500</xdr:rowOff>
              </to>
            </anchor>
          </controlPr>
        </control>
      </mc:Choice>
      <mc:Fallback>
        <control shapeId="2052" r:id="rId6" name="CheckBox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Stat_Refresh">
            <anchor moveWithCells="1" sizeWithCells="1">
              <from>
                <xdr:col>18</xdr:col>
                <xdr:colOff>123825</xdr:colOff>
                <xdr:row>2</xdr:row>
                <xdr:rowOff>66675</xdr:rowOff>
              </from>
              <to>
                <xdr:col>20</xdr:col>
                <xdr:colOff>514350</xdr:colOff>
                <xdr:row>7</xdr:row>
                <xdr:rowOff>133350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lorScale" priority="126" id="{D3E3AF92-6E53-4B41-8B8C-98BE1321A0B2}">
            <x14:colorScale>
              <x14:cfvo type="num">
                <xm:f>'Advanced Lobby Stats'!$AV$4/2</xm:f>
              </x14:cfvo>
              <x14:cfvo type="num">
                <xm:f>'Advanced Lobby Stats'!$AV$4</xm:f>
              </x14:cfvo>
              <x14:cfvo type="num">
                <xm:f>1</xm:f>
              </x14:cfvo>
              <x14:color rgb="FFF8696B"/>
              <x14:color rgb="FFFFEB84"/>
              <x14:color rgb="FF63BE7B"/>
            </x14:colorScale>
          </x14:cfRule>
          <xm:sqref>B26:E26 H26:K26 N26:Q26</xm:sqref>
        </x14:conditionalFormatting>
        <x14:conditionalFormatting xmlns:xm="http://schemas.microsoft.com/office/excel/2006/main">
          <x14:cfRule type="colorScale" priority="129" id="{7FECE126-C941-4127-8712-8422C44A3594}">
            <x14:colorScale>
              <x14:cfvo type="num">
                <xm:f>0</xm:f>
              </x14:cfvo>
              <x14:cfvo type="num">
                <xm:f>'Advanced Lobby Stats'!$AV$5</xm:f>
              </x14:cfvo>
              <x14:cfvo type="num">
                <xm:f>'Advanced Lobby Stats'!$AV$5*2</xm:f>
              </x14:cfvo>
              <x14:color rgb="FFF8696B"/>
              <x14:color rgb="FFFFEB84"/>
              <x14:color rgb="FF63BE7B"/>
            </x14:colorScale>
          </x14:cfRule>
          <xm:sqref>B46:E46 H46:K46 N46:Q46</xm:sqref>
        </x14:conditionalFormatting>
        <x14:conditionalFormatting xmlns:xm="http://schemas.microsoft.com/office/excel/2006/main">
          <x14:cfRule type="colorScale" priority="132" id="{4E8F743B-3E3E-4822-BAA8-D9E7F4CA8EAA}">
            <x14:colorScale>
              <x14:cfvo type="num">
                <xm:f>0</xm:f>
              </x14:cfvo>
              <x14:cfvo type="num">
                <xm:f>'Advanced Lobby Stats'!$AV$3</xm:f>
              </x14:cfvo>
              <x14:cfvo type="num">
                <xm:f>1</xm:f>
              </x14:cfvo>
              <x14:color rgb="FFF8696B"/>
              <x14:color rgb="FFFFEB84"/>
              <x14:color rgb="FF63BE7B"/>
            </x14:colorScale>
          </x14:cfRule>
          <xm:sqref>B7:E7 H7:K7 N7:Q7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Games</vt:lpstr>
      <vt:lpstr>Lobby Stats</vt:lpstr>
      <vt:lpstr>Imposter Pairs</vt:lpstr>
      <vt:lpstr>Imposter Games Chart</vt:lpstr>
      <vt:lpstr>Imposter %W Chart</vt:lpstr>
      <vt:lpstr>Advanced Lobby Stats</vt:lpstr>
      <vt:lpstr>Stats</vt:lpstr>
      <vt:lpstr>PlayersList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mack Biduk</dc:creator>
  <cp:lastModifiedBy>mack Biduk</cp:lastModifiedBy>
  <dcterms:created xsi:type="dcterms:W3CDTF">2020-12-10T01:30:21Z</dcterms:created>
  <dcterms:modified xsi:type="dcterms:W3CDTF">2021-11-25T19:48:36Z</dcterms:modified>
</cp:coreProperties>
</file>